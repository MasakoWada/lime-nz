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D:\temp\econ\dat\"/>
    </mc:Choice>
  </mc:AlternateContent>
  <xr:revisionPtr revIDLastSave="0" documentId="13_ncr:1_{A1628C0E-BE5F-47A5-BB81-789119093F9D}" xr6:coauthVersionLast="47" xr6:coauthVersionMax="47" xr10:uidLastSave="{00000000-0000-0000-0000-000000000000}"/>
  <bookViews>
    <workbookView xWindow="38280" yWindow="-120" windowWidth="29040" windowHeight="15840" xr2:uid="{ECAD1EED-573D-454A-8240-DBB54D7C521D}"/>
  </bookViews>
  <sheets>
    <sheet name="Partial Budget" sheetId="13" r:id="rId1"/>
    <sheet name="Dairy GM" sheetId="7" r:id="rId2"/>
    <sheet name="Beef GM" sheetId="18" r:id="rId3"/>
    <sheet name="Sheep GM" sheetId="16" r:id="rId4"/>
    <sheet name="Disease parameter" sheetId="20" r:id="rId5"/>
    <sheet name="Dairy parameter" sheetId="14" r:id="rId6"/>
    <sheet name="Beef parameter" sheetId="17" r:id="rId7"/>
    <sheet name="Sheep parameter" sheetId="15" r:id="rId8"/>
    <sheet name="List" sheetId="19" r:id="rId9"/>
    <sheet name="Farm type" sheetId="21" r:id="rId10"/>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0" i="13" l="1"/>
  <c r="G6" i="16"/>
  <c r="G6" i="18"/>
  <c r="E22" i="16"/>
  <c r="I22" i="16" s="1"/>
  <c r="E193" i="18"/>
  <c r="F22" i="16"/>
  <c r="F17" i="7"/>
  <c r="F196" i="18"/>
  <c r="J22" i="16"/>
  <c r="F143" i="16"/>
  <c r="E57" i="16" l="1"/>
  <c r="E58" i="16"/>
  <c r="N38" i="16"/>
  <c r="F51" i="16"/>
  <c r="J71" i="16"/>
  <c r="L51" i="16"/>
  <c r="N90" i="16"/>
  <c r="L44" i="16"/>
  <c r="L54" i="16"/>
  <c r="L41" i="16"/>
  <c r="N51" i="16"/>
  <c r="J21" i="18"/>
  <c r="L38" i="16"/>
  <c r="L40" i="16"/>
  <c r="N100" i="16"/>
  <c r="L39" i="16"/>
  <c r="L48" i="16"/>
  <c r="N98" i="16"/>
  <c r="J103" i="16"/>
  <c r="J45" i="16"/>
  <c r="L100" i="16"/>
  <c r="J39" i="16"/>
  <c r="F39" i="16"/>
  <c r="L45" i="16"/>
  <c r="J25" i="18"/>
  <c r="L98" i="16"/>
  <c r="F71" i="16"/>
  <c r="L101" i="16"/>
  <c r="N101" i="16"/>
  <c r="L90" i="16"/>
  <c r="J11" i="16"/>
  <c r="J51" i="16"/>
  <c r="J16" i="16"/>
  <c r="J44" i="16"/>
  <c r="N45" i="16"/>
  <c r="N44" i="16"/>
  <c r="N39" i="16"/>
  <c r="N40" i="16"/>
  <c r="F103" i="16"/>
  <c r="N41" i="16"/>
  <c r="E59" i="16" l="1"/>
  <c r="E54" i="16"/>
  <c r="F45" i="16"/>
  <c r="F44" i="16"/>
  <c r="E104" i="16" l="1"/>
  <c r="K104" i="16" s="1"/>
  <c r="E90" i="16"/>
  <c r="F90" i="16"/>
  <c r="F11" i="16"/>
  <c r="F12" i="16"/>
  <c r="F10" i="18"/>
  <c r="J10" i="18"/>
  <c r="K90" i="16" l="1"/>
  <c r="E180" i="18"/>
  <c r="E181" i="18"/>
  <c r="E170" i="18"/>
  <c r="E162" i="18"/>
  <c r="E107" i="7"/>
  <c r="F44" i="7"/>
  <c r="J44" i="7"/>
  <c r="F84" i="7"/>
  <c r="F164" i="18"/>
  <c r="L106" i="7"/>
  <c r="J11" i="7"/>
  <c r="F98" i="7"/>
  <c r="F11" i="7"/>
  <c r="F170" i="18"/>
  <c r="L55" i="7"/>
  <c r="N106" i="7"/>
  <c r="K170" i="18" l="1"/>
  <c r="M170" i="18"/>
  <c r="E70" i="7"/>
  <c r="J16" i="7"/>
  <c r="E98" i="7" l="1"/>
  <c r="E121" i="7" s="1"/>
  <c r="E124" i="7"/>
  <c r="N86" i="7"/>
  <c r="N85" i="7"/>
  <c r="L86" i="7"/>
  <c r="L85" i="7"/>
  <c r="B2" i="7" l="1"/>
  <c r="N90" i="7"/>
  <c r="F97" i="7"/>
  <c r="L90" i="7"/>
  <c r="E106" i="7" l="1"/>
  <c r="F106" i="7"/>
  <c r="F86" i="7"/>
  <c r="M106" i="7" l="1"/>
  <c r="K106" i="7"/>
  <c r="B79" i="7"/>
  <c r="E30" i="7"/>
  <c r="I30" i="7" s="1"/>
  <c r="F30" i="7"/>
  <c r="J30" i="7"/>
  <c r="E82" i="7" l="1"/>
  <c r="E34" i="7"/>
  <c r="E96" i="7" l="1"/>
  <c r="M82" i="7"/>
  <c r="K82" i="7"/>
  <c r="E79" i="7"/>
  <c r="B85" i="7"/>
  <c r="B64" i="7"/>
  <c r="B128" i="7"/>
  <c r="B127" i="7"/>
  <c r="B124" i="7"/>
  <c r="B121" i="7"/>
  <c r="B118" i="7"/>
  <c r="B117" i="7"/>
  <c r="B116" i="7"/>
  <c r="B111" i="7"/>
  <c r="B110" i="7"/>
  <c r="B109" i="7"/>
  <c r="B107" i="7"/>
  <c r="B105" i="7"/>
  <c r="B104" i="7"/>
  <c r="B102" i="7"/>
  <c r="B78" i="7"/>
  <c r="B70" i="7"/>
  <c r="B75" i="7"/>
  <c r="B74" i="7"/>
  <c r="B73" i="7"/>
  <c r="M92" i="16"/>
  <c r="K92" i="16"/>
  <c r="M138" i="18"/>
  <c r="K138" i="18"/>
  <c r="E35" i="16"/>
  <c r="E173" i="18"/>
  <c r="L138" i="18"/>
  <c r="N57" i="18"/>
  <c r="N56" i="18"/>
  <c r="F194" i="18"/>
  <c r="F16" i="7"/>
  <c r="F138" i="18"/>
  <c r="F55" i="18"/>
  <c r="J26" i="16"/>
  <c r="L92" i="16"/>
  <c r="F26" i="16"/>
  <c r="F56" i="18"/>
  <c r="L57" i="18"/>
  <c r="J141" i="16"/>
  <c r="J55" i="18"/>
  <c r="J57" i="18"/>
  <c r="L56" i="18"/>
  <c r="N138" i="18"/>
  <c r="J38" i="16"/>
  <c r="F91" i="7"/>
  <c r="J56" i="18"/>
  <c r="L55" i="18"/>
  <c r="N92" i="16"/>
  <c r="J16" i="18"/>
  <c r="F16" i="18"/>
  <c r="J121" i="16"/>
  <c r="F92" i="16"/>
  <c r="F141" i="16"/>
  <c r="J194" i="18"/>
  <c r="N55" i="18"/>
  <c r="F16" i="16"/>
  <c r="F38" i="16"/>
  <c r="F57" i="18"/>
  <c r="E98" i="16" l="1"/>
  <c r="M138" i="16"/>
  <c r="M190" i="18"/>
  <c r="E18" i="16"/>
  <c r="E164" i="18"/>
  <c r="E80" i="18"/>
  <c r="E44" i="18"/>
  <c r="E37" i="18"/>
  <c r="R4" i="13"/>
  <c r="P4" i="13"/>
  <c r="N4" i="13"/>
  <c r="M119" i="16"/>
  <c r="M91" i="16"/>
  <c r="M90" i="16" s="1"/>
  <c r="M180" i="18"/>
  <c r="M168" i="18"/>
  <c r="M166" i="18"/>
  <c r="M137" i="18"/>
  <c r="J68" i="18"/>
  <c r="N96" i="18"/>
  <c r="F110" i="18"/>
  <c r="F18" i="16"/>
  <c r="J106" i="18"/>
  <c r="N45" i="18"/>
  <c r="L69" i="18"/>
  <c r="N95" i="18"/>
  <c r="L52" i="18"/>
  <c r="L96" i="18"/>
  <c r="L121" i="7"/>
  <c r="J111" i="18"/>
  <c r="J18" i="18"/>
  <c r="J20" i="7"/>
  <c r="F111" i="18"/>
  <c r="J109" i="18"/>
  <c r="F112" i="18"/>
  <c r="F106" i="18"/>
  <c r="J22" i="18"/>
  <c r="J115" i="18"/>
  <c r="J28" i="7"/>
  <c r="J21" i="16"/>
  <c r="J26" i="18"/>
  <c r="J110" i="18"/>
  <c r="N72" i="18"/>
  <c r="J193" i="18"/>
  <c r="F124" i="18"/>
  <c r="N14" i="18"/>
  <c r="F19" i="16"/>
  <c r="L94" i="18"/>
  <c r="N13" i="18"/>
  <c r="L50" i="18"/>
  <c r="F107" i="18"/>
  <c r="F125" i="18"/>
  <c r="N98" i="18"/>
  <c r="F193" i="18"/>
  <c r="N138" i="16"/>
  <c r="J107" i="18"/>
  <c r="F122" i="18"/>
  <c r="J23" i="18"/>
  <c r="F45" i="18"/>
  <c r="F108" i="18"/>
  <c r="N103" i="18"/>
  <c r="F59" i="7"/>
  <c r="F70" i="16"/>
  <c r="L102" i="18"/>
  <c r="J19" i="16"/>
  <c r="L97" i="18"/>
  <c r="J114" i="18"/>
  <c r="N52" i="18"/>
  <c r="J45" i="18"/>
  <c r="F20" i="16"/>
  <c r="J28" i="18"/>
  <c r="L51" i="18"/>
  <c r="N102" i="18"/>
  <c r="N99" i="18"/>
  <c r="N46" i="18"/>
  <c r="F69" i="18"/>
  <c r="L46" i="18"/>
  <c r="N190" i="18"/>
  <c r="J69" i="16"/>
  <c r="J70" i="16"/>
  <c r="F68" i="16"/>
  <c r="J19" i="7"/>
  <c r="F113" i="18"/>
  <c r="L98" i="18"/>
  <c r="F128" i="18"/>
  <c r="J24" i="18"/>
  <c r="F129" i="18"/>
  <c r="F120" i="18"/>
  <c r="J27" i="18"/>
  <c r="J31" i="18"/>
  <c r="J20" i="18"/>
  <c r="J59" i="7"/>
  <c r="N50" i="18"/>
  <c r="N45" i="7"/>
  <c r="N97" i="18"/>
  <c r="F115" i="18"/>
  <c r="J113" i="18"/>
  <c r="J46" i="18"/>
  <c r="F21" i="16"/>
  <c r="J69" i="18"/>
  <c r="F123" i="18"/>
  <c r="F46" i="18"/>
  <c r="J68" i="16"/>
  <c r="L103" i="18"/>
  <c r="N26" i="7"/>
  <c r="F61" i="7"/>
  <c r="J112" i="18"/>
  <c r="N91" i="7"/>
  <c r="J18" i="16"/>
  <c r="L100" i="18"/>
  <c r="F121" i="18"/>
  <c r="J61" i="7"/>
  <c r="J18" i="7"/>
  <c r="L93" i="18"/>
  <c r="N89" i="7"/>
  <c r="L99" i="18"/>
  <c r="L45" i="18"/>
  <c r="J19" i="18"/>
  <c r="N100" i="18"/>
  <c r="F69" i="16"/>
  <c r="L101" i="18"/>
  <c r="F126" i="18"/>
  <c r="N93" i="18"/>
  <c r="N121" i="7"/>
  <c r="F60" i="7"/>
  <c r="F109" i="18"/>
  <c r="N101" i="18"/>
  <c r="L14" i="18"/>
  <c r="J20" i="16"/>
  <c r="F127" i="18"/>
  <c r="F122" i="16"/>
  <c r="L26" i="7"/>
  <c r="L95" i="18"/>
  <c r="J60" i="7"/>
  <c r="L91" i="7"/>
  <c r="N51" i="18"/>
  <c r="F68" i="18"/>
  <c r="L13" i="18"/>
  <c r="N69" i="18"/>
  <c r="L68" i="18"/>
  <c r="N94" i="18"/>
  <c r="J108" i="18"/>
  <c r="F31" i="18"/>
  <c r="N68" i="18"/>
  <c r="J21" i="7"/>
  <c r="L89" i="7"/>
  <c r="L45" i="7"/>
  <c r="F114" i="18"/>
  <c r="M164" i="18" l="1"/>
  <c r="K164" i="18"/>
  <c r="E46" i="18"/>
  <c r="I193" i="18"/>
  <c r="E45" i="18"/>
  <c r="K37" i="18"/>
  <c r="K180" i="18"/>
  <c r="K166" i="18"/>
  <c r="K168" i="18"/>
  <c r="E90" i="18"/>
  <c r="E15" i="18" s="1"/>
  <c r="E88" i="18"/>
  <c r="E87" i="18"/>
  <c r="E86" i="18"/>
  <c r="E85" i="18"/>
  <c r="E81" i="18"/>
  <c r="E79" i="18"/>
  <c r="E77" i="18"/>
  <c r="E75" i="18"/>
  <c r="E73" i="18"/>
  <c r="M181" i="18"/>
  <c r="E179" i="18"/>
  <c r="M179" i="18" s="1"/>
  <c r="E178" i="18"/>
  <c r="E177" i="18"/>
  <c r="E176" i="18"/>
  <c r="M176" i="18" s="1"/>
  <c r="E175" i="18"/>
  <c r="M175" i="18" s="1"/>
  <c r="E172" i="18"/>
  <c r="E171" i="18"/>
  <c r="E169" i="18"/>
  <c r="M169" i="18" s="1"/>
  <c r="E167" i="18"/>
  <c r="M167" i="18" s="1"/>
  <c r="E165" i="18"/>
  <c r="M165" i="18" s="1"/>
  <c r="F78" i="18"/>
  <c r="L173" i="18"/>
  <c r="L145" i="18"/>
  <c r="F171" i="18"/>
  <c r="N179" i="18"/>
  <c r="J50" i="18"/>
  <c r="F88" i="18"/>
  <c r="J103" i="18"/>
  <c r="F74" i="18"/>
  <c r="L88" i="18"/>
  <c r="L90" i="18"/>
  <c r="F162" i="18"/>
  <c r="F97" i="18"/>
  <c r="N158" i="18"/>
  <c r="N168" i="18"/>
  <c r="F150" i="18"/>
  <c r="L179" i="18"/>
  <c r="L89" i="18"/>
  <c r="L181" i="18"/>
  <c r="J66" i="18"/>
  <c r="J90" i="18"/>
  <c r="F89" i="18"/>
  <c r="J76" i="18"/>
  <c r="F77" i="18"/>
  <c r="J162" i="18"/>
  <c r="N76" i="18"/>
  <c r="L152" i="18"/>
  <c r="J52" i="18"/>
  <c r="J100" i="18"/>
  <c r="J64" i="18"/>
  <c r="F85" i="18"/>
  <c r="F178" i="18"/>
  <c r="N89" i="18"/>
  <c r="F75" i="18"/>
  <c r="N42" i="18"/>
  <c r="N67" i="18"/>
  <c r="N181" i="18"/>
  <c r="N38" i="18"/>
  <c r="F72" i="18"/>
  <c r="F167" i="18"/>
  <c r="J156" i="18"/>
  <c r="N74" i="18"/>
  <c r="N150" i="18"/>
  <c r="F147" i="18"/>
  <c r="J94" i="18"/>
  <c r="N90" i="18"/>
  <c r="F76" i="18"/>
  <c r="J13" i="18"/>
  <c r="L142" i="18"/>
  <c r="N85" i="18"/>
  <c r="N167" i="18"/>
  <c r="F144" i="18"/>
  <c r="L156" i="18"/>
  <c r="F79" i="18"/>
  <c r="F149" i="18"/>
  <c r="N64" i="18"/>
  <c r="N43" i="18"/>
  <c r="N79" i="18"/>
  <c r="J47" i="18"/>
  <c r="L41" i="18"/>
  <c r="F155" i="18"/>
  <c r="F94" i="18"/>
  <c r="L38" i="18"/>
  <c r="F38" i="18"/>
  <c r="J15" i="18"/>
  <c r="L149" i="18"/>
  <c r="J65" i="18"/>
  <c r="N177" i="18"/>
  <c r="J41" i="18"/>
  <c r="J80" i="18"/>
  <c r="F102" i="18"/>
  <c r="F142" i="18"/>
  <c r="L76" i="18"/>
  <c r="L86" i="18"/>
  <c r="F152" i="18"/>
  <c r="J44" i="18"/>
  <c r="N39" i="18"/>
  <c r="F143" i="18"/>
  <c r="N88" i="18"/>
  <c r="N65" i="18"/>
  <c r="J95" i="18"/>
  <c r="N157" i="18"/>
  <c r="J88" i="18"/>
  <c r="L155" i="18"/>
  <c r="J39" i="18"/>
  <c r="N78" i="18"/>
  <c r="N180" i="18"/>
  <c r="L66" i="18"/>
  <c r="L79" i="18"/>
  <c r="F44" i="18"/>
  <c r="J38" i="18"/>
  <c r="N66" i="18"/>
  <c r="L60" i="18"/>
  <c r="F50" i="18"/>
  <c r="N73" i="18"/>
  <c r="F158" i="18"/>
  <c r="N60" i="18"/>
  <c r="L170" i="18"/>
  <c r="L74" i="18"/>
  <c r="J43" i="18"/>
  <c r="N63" i="18"/>
  <c r="J11" i="18"/>
  <c r="F73" i="18"/>
  <c r="N75" i="18"/>
  <c r="J51" i="18"/>
  <c r="L147" i="18"/>
  <c r="N77" i="18"/>
  <c r="F87" i="18"/>
  <c r="F181" i="18"/>
  <c r="F39" i="18"/>
  <c r="N173" i="18"/>
  <c r="L42" i="18"/>
  <c r="J14" i="18"/>
  <c r="F90" i="18"/>
  <c r="L61" i="18"/>
  <c r="F86" i="18"/>
  <c r="J85" i="18"/>
  <c r="F157" i="18"/>
  <c r="F52" i="18"/>
  <c r="F42" i="18"/>
  <c r="F13" i="18"/>
  <c r="F41" i="18"/>
  <c r="L39" i="18"/>
  <c r="L171" i="18"/>
  <c r="L81" i="18"/>
  <c r="L178" i="18"/>
  <c r="L62" i="18"/>
  <c r="N41" i="18"/>
  <c r="N178" i="18"/>
  <c r="F177" i="18"/>
  <c r="F146" i="18"/>
  <c r="J98" i="18"/>
  <c r="J75" i="18"/>
  <c r="J101" i="18"/>
  <c r="L172" i="18"/>
  <c r="J73" i="18"/>
  <c r="J63" i="18"/>
  <c r="J96" i="18"/>
  <c r="J62" i="18"/>
  <c r="N171" i="18"/>
  <c r="L177" i="18"/>
  <c r="J74" i="18"/>
  <c r="J77" i="18"/>
  <c r="J40" i="18"/>
  <c r="F47" i="18"/>
  <c r="N172" i="18"/>
  <c r="L180" i="18"/>
  <c r="N165" i="18"/>
  <c r="J81" i="18"/>
  <c r="L43" i="18"/>
  <c r="J72" i="18"/>
  <c r="J97" i="18"/>
  <c r="N169" i="18"/>
  <c r="L148" i="18"/>
  <c r="L67" i="18"/>
  <c r="L176" i="18"/>
  <c r="F156" i="18"/>
  <c r="N81" i="18"/>
  <c r="N61" i="18"/>
  <c r="N87" i="18"/>
  <c r="F175" i="18"/>
  <c r="N86" i="18"/>
  <c r="L87" i="18"/>
  <c r="N152" i="18"/>
  <c r="N147" i="18"/>
  <c r="N149" i="18"/>
  <c r="L73" i="18"/>
  <c r="F96" i="18"/>
  <c r="F169" i="18"/>
  <c r="L65" i="18"/>
  <c r="L158" i="18"/>
  <c r="J42" i="18"/>
  <c r="F145" i="18"/>
  <c r="N148" i="18"/>
  <c r="J12" i="18"/>
  <c r="F99" i="18"/>
  <c r="F168" i="18"/>
  <c r="L169" i="18"/>
  <c r="N170" i="18"/>
  <c r="L75" i="18"/>
  <c r="F179" i="18"/>
  <c r="J89" i="18"/>
  <c r="N176" i="18"/>
  <c r="J86" i="18"/>
  <c r="L168" i="18"/>
  <c r="L78" i="18"/>
  <c r="F80" i="18"/>
  <c r="J99" i="18"/>
  <c r="F100" i="18"/>
  <c r="N144" i="18"/>
  <c r="F95" i="18"/>
  <c r="L63" i="18"/>
  <c r="J87" i="18"/>
  <c r="F173" i="18"/>
  <c r="F180" i="18"/>
  <c r="F101" i="18"/>
  <c r="N142" i="18"/>
  <c r="F166" i="18"/>
  <c r="N143" i="18"/>
  <c r="N166" i="18"/>
  <c r="L143" i="18"/>
  <c r="F98" i="18"/>
  <c r="F172" i="18"/>
  <c r="J157" i="18"/>
  <c r="J78" i="18"/>
  <c r="L167" i="18"/>
  <c r="J102" i="18"/>
  <c r="L150" i="18"/>
  <c r="L157" i="18"/>
  <c r="L80" i="18"/>
  <c r="N80" i="18"/>
  <c r="L77" i="18"/>
  <c r="L64" i="18"/>
  <c r="L85" i="18"/>
  <c r="J61" i="18"/>
  <c r="N153" i="18"/>
  <c r="N156" i="18"/>
  <c r="F148" i="18"/>
  <c r="L166" i="18"/>
  <c r="N146" i="18"/>
  <c r="F51" i="18"/>
  <c r="N155" i="18"/>
  <c r="L144" i="18"/>
  <c r="N62" i="18"/>
  <c r="L165" i="18"/>
  <c r="J60" i="18"/>
  <c r="J67" i="18"/>
  <c r="L146" i="18"/>
  <c r="F14" i="18"/>
  <c r="F40" i="18"/>
  <c r="F43" i="18"/>
  <c r="N145" i="18"/>
  <c r="E14" i="18" l="1"/>
  <c r="E13" i="18"/>
  <c r="E12" i="18"/>
  <c r="E154" i="18"/>
  <c r="M154" i="18" s="1"/>
  <c r="E157" i="18"/>
  <c r="M157" i="18" s="1"/>
  <c r="I162" i="18"/>
  <c r="K177" i="18"/>
  <c r="M177" i="18"/>
  <c r="K178" i="18"/>
  <c r="M178" i="18"/>
  <c r="K171" i="18"/>
  <c r="M171" i="18"/>
  <c r="K172" i="18"/>
  <c r="M172" i="18"/>
  <c r="K173" i="18"/>
  <c r="M173" i="18"/>
  <c r="K176" i="18"/>
  <c r="K169" i="18"/>
  <c r="K167" i="18"/>
  <c r="E153" i="18"/>
  <c r="M153" i="18" s="1"/>
  <c r="K181" i="18"/>
  <c r="K179" i="18"/>
  <c r="E155" i="18"/>
  <c r="M155" i="18" s="1"/>
  <c r="E158" i="18"/>
  <c r="M158" i="18" s="1"/>
  <c r="E156" i="18"/>
  <c r="M156" i="18" s="1"/>
  <c r="E84" i="18"/>
  <c r="E11" i="18" s="1"/>
  <c r="E120" i="16"/>
  <c r="E132" i="18"/>
  <c r="E41" i="18" s="1"/>
  <c r="E133" i="18"/>
  <c r="K175" i="18"/>
  <c r="K165" i="18"/>
  <c r="K137" i="18"/>
  <c r="E122" i="16"/>
  <c r="I122" i="16" s="1"/>
  <c r="J84" i="18"/>
  <c r="J9" i="18"/>
  <c r="L112" i="16"/>
  <c r="L154" i="18"/>
  <c r="L12" i="18"/>
  <c r="F65" i="18"/>
  <c r="J154" i="18"/>
  <c r="F62" i="18"/>
  <c r="F63" i="18"/>
  <c r="N133" i="18"/>
  <c r="N154" i="18"/>
  <c r="L132" i="18"/>
  <c r="J189" i="18"/>
  <c r="J30" i="18"/>
  <c r="L104" i="16"/>
  <c r="F136" i="18"/>
  <c r="N11" i="18"/>
  <c r="L11" i="18"/>
  <c r="F66" i="18"/>
  <c r="L9" i="18"/>
  <c r="L164" i="18"/>
  <c r="L136" i="18"/>
  <c r="F17" i="18"/>
  <c r="J112" i="16"/>
  <c r="N12" i="18"/>
  <c r="J79" i="18"/>
  <c r="F189" i="18"/>
  <c r="N136" i="18"/>
  <c r="L15" i="18"/>
  <c r="F32" i="18"/>
  <c r="F84" i="18"/>
  <c r="N132" i="18"/>
  <c r="J122" i="16"/>
  <c r="F153" i="18"/>
  <c r="J33" i="18"/>
  <c r="J120" i="16"/>
  <c r="N104" i="16"/>
  <c r="F60" i="18"/>
  <c r="N37" i="18"/>
  <c r="N141" i="18"/>
  <c r="F15" i="18"/>
  <c r="L133" i="18"/>
  <c r="L175" i="18"/>
  <c r="F112" i="16"/>
  <c r="L37" i="18"/>
  <c r="F113" i="16"/>
  <c r="J37" i="18"/>
  <c r="N40" i="18"/>
  <c r="L141" i="18"/>
  <c r="N15" i="18"/>
  <c r="J153" i="18"/>
  <c r="L137" i="18"/>
  <c r="F12" i="18"/>
  <c r="J65" i="16"/>
  <c r="F61" i="18"/>
  <c r="F64" i="18"/>
  <c r="L153" i="18"/>
  <c r="F41" i="16"/>
  <c r="F9" i="18"/>
  <c r="J41" i="16"/>
  <c r="J186" i="18"/>
  <c r="F7" i="18"/>
  <c r="F65" i="16"/>
  <c r="F165" i="18"/>
  <c r="L84" i="18"/>
  <c r="L72" i="18"/>
  <c r="L44" i="18"/>
  <c r="N65" i="16"/>
  <c r="F141" i="18"/>
  <c r="F81" i="18"/>
  <c r="F133" i="18"/>
  <c r="N44" i="18"/>
  <c r="J7" i="18"/>
  <c r="N164" i="18"/>
  <c r="N9" i="18"/>
  <c r="F33" i="18"/>
  <c r="F37" i="18"/>
  <c r="N137" i="18"/>
  <c r="L40" i="18"/>
  <c r="F137" i="18"/>
  <c r="F93" i="18"/>
  <c r="F154" i="18"/>
  <c r="N112" i="16"/>
  <c r="F103" i="18"/>
  <c r="N84" i="18"/>
  <c r="N175" i="18"/>
  <c r="F186" i="18"/>
  <c r="J32" i="18"/>
  <c r="L65" i="16"/>
  <c r="F132" i="18"/>
  <c r="F176" i="18"/>
  <c r="F30" i="18"/>
  <c r="F11" i="18"/>
  <c r="F67" i="18"/>
  <c r="J17" i="18"/>
  <c r="J93" i="18"/>
  <c r="E39" i="18" l="1"/>
  <c r="E10" i="18"/>
  <c r="E40" i="18"/>
  <c r="E51" i="18" s="1"/>
  <c r="E141" i="18"/>
  <c r="M141" i="18" s="1"/>
  <c r="E43" i="18"/>
  <c r="I154" i="18"/>
  <c r="K154" i="18"/>
  <c r="M132" i="18"/>
  <c r="E60" i="18"/>
  <c r="M133" i="18"/>
  <c r="E64" i="18"/>
  <c r="E97" i="18" s="1"/>
  <c r="E152" i="18"/>
  <c r="M152" i="18" s="1"/>
  <c r="E136" i="18"/>
  <c r="M136" i="18" s="1"/>
  <c r="K157" i="18"/>
  <c r="I157" i="18"/>
  <c r="M37" i="18"/>
  <c r="I120" i="16"/>
  <c r="M120" i="16"/>
  <c r="K158" i="18"/>
  <c r="K155" i="18"/>
  <c r="K156" i="18"/>
  <c r="I156" i="18"/>
  <c r="K132" i="18"/>
  <c r="K133" i="18"/>
  <c r="E29" i="16"/>
  <c r="N94" i="16"/>
  <c r="L107" i="16"/>
  <c r="N107" i="16"/>
  <c r="L110" i="16"/>
  <c r="N110" i="16"/>
  <c r="J110" i="16"/>
  <c r="J131" i="16"/>
  <c r="L94" i="16"/>
  <c r="E38" i="18" l="1"/>
  <c r="E50" i="18" s="1"/>
  <c r="E42" i="18"/>
  <c r="E52" i="18" s="1"/>
  <c r="E57" i="18" s="1"/>
  <c r="I57" i="18" s="1"/>
  <c r="I52" i="18" s="1"/>
  <c r="E93" i="18"/>
  <c r="M60" i="18"/>
  <c r="E66" i="18"/>
  <c r="E112" i="18" s="1"/>
  <c r="E147" i="18"/>
  <c r="K43" i="18"/>
  <c r="K66" i="18" s="1"/>
  <c r="M43" i="18"/>
  <c r="M66" i="18" s="1"/>
  <c r="M41" i="18"/>
  <c r="K41" i="18"/>
  <c r="K64" i="18" s="1"/>
  <c r="E145" i="18"/>
  <c r="E106" i="18"/>
  <c r="K152" i="18"/>
  <c r="E110" i="18"/>
  <c r="M84" i="18"/>
  <c r="M11" i="18" s="1"/>
  <c r="M72" i="18"/>
  <c r="K60" i="18"/>
  <c r="I37" i="18"/>
  <c r="K136" i="18"/>
  <c r="M44" i="18" s="1"/>
  <c r="K141" i="18"/>
  <c r="E33" i="16"/>
  <c r="E107" i="16" s="1"/>
  <c r="E93" i="16"/>
  <c r="E110" i="16" s="1"/>
  <c r="M104" i="16"/>
  <c r="E74" i="16"/>
  <c r="E124" i="16"/>
  <c r="E125" i="16"/>
  <c r="E14" i="16" s="1"/>
  <c r="E121" i="16"/>
  <c r="E126" i="16"/>
  <c r="E117" i="16"/>
  <c r="I117" i="16" s="1"/>
  <c r="E86" i="16"/>
  <c r="E102" i="16" s="1"/>
  <c r="I102" i="16" s="1"/>
  <c r="E84" i="16"/>
  <c r="E89" i="16"/>
  <c r="M89" i="16" s="1"/>
  <c r="I29" i="16"/>
  <c r="F124" i="16"/>
  <c r="F84" i="16"/>
  <c r="N85" i="16"/>
  <c r="F54" i="16"/>
  <c r="N34" i="16"/>
  <c r="L57" i="16"/>
  <c r="F94" i="16"/>
  <c r="F15" i="16"/>
  <c r="N84" i="16"/>
  <c r="N64" i="16"/>
  <c r="N13" i="16"/>
  <c r="F64" i="16"/>
  <c r="J134" i="16"/>
  <c r="F120" i="16"/>
  <c r="J13" i="16"/>
  <c r="J9" i="16"/>
  <c r="F107" i="16"/>
  <c r="F108" i="16"/>
  <c r="L75" i="16"/>
  <c r="J137" i="16"/>
  <c r="N108" i="16"/>
  <c r="N35" i="16"/>
  <c r="J40" i="16"/>
  <c r="L34" i="16"/>
  <c r="F100" i="16"/>
  <c r="L84" i="16"/>
  <c r="N15" i="16"/>
  <c r="J102" i="16"/>
  <c r="F85" i="16"/>
  <c r="J59" i="16"/>
  <c r="F102" i="16"/>
  <c r="N125" i="16"/>
  <c r="N49" i="16"/>
  <c r="L113" i="16"/>
  <c r="J99" i="16"/>
  <c r="N117" i="16"/>
  <c r="J33" i="16"/>
  <c r="F10" i="16"/>
  <c r="L14" i="16"/>
  <c r="L124" i="16"/>
  <c r="N14" i="16"/>
  <c r="J34" i="16"/>
  <c r="L58" i="16"/>
  <c r="L117" i="16"/>
  <c r="J98" i="16"/>
  <c r="N119" i="16"/>
  <c r="J10" i="16"/>
  <c r="N57" i="16"/>
  <c r="L86" i="16"/>
  <c r="J50" i="16"/>
  <c r="J101" i="16"/>
  <c r="J75" i="16"/>
  <c r="L10" i="16"/>
  <c r="F131" i="16"/>
  <c r="N91" i="16"/>
  <c r="J113" i="16"/>
  <c r="L59" i="16"/>
  <c r="F58" i="16"/>
  <c r="L91" i="16"/>
  <c r="N12" i="16"/>
  <c r="L49" i="16"/>
  <c r="N120" i="16"/>
  <c r="N59" i="16"/>
  <c r="F27" i="16"/>
  <c r="F137" i="16"/>
  <c r="F121" i="16"/>
  <c r="E17" i="18" l="1"/>
  <c r="M107" i="16"/>
  <c r="K107" i="16"/>
  <c r="I121" i="16"/>
  <c r="E15" i="16"/>
  <c r="E34" i="16"/>
  <c r="E94" i="16" s="1"/>
  <c r="F34" i="16"/>
  <c r="F117" i="16"/>
  <c r="N126" i="16"/>
  <c r="J63" i="16"/>
  <c r="F59" i="16"/>
  <c r="F28" i="16"/>
  <c r="L119" i="16"/>
  <c r="N75" i="16"/>
  <c r="L120" i="16"/>
  <c r="J14" i="16"/>
  <c r="F98" i="16"/>
  <c r="J17" i="16"/>
  <c r="J35" i="16"/>
  <c r="N58" i="16"/>
  <c r="F33" i="16"/>
  <c r="J49" i="16"/>
  <c r="L108" i="16"/>
  <c r="F75" i="16"/>
  <c r="F134" i="16"/>
  <c r="L56" i="7"/>
  <c r="L15" i="16"/>
  <c r="L126" i="16"/>
  <c r="L64" i="7"/>
  <c r="N33" i="16"/>
  <c r="N121" i="16"/>
  <c r="N48" i="16"/>
  <c r="N50" i="16"/>
  <c r="L50" i="16"/>
  <c r="L62" i="16"/>
  <c r="N63" i="16"/>
  <c r="J12" i="16"/>
  <c r="F7" i="16"/>
  <c r="E99" i="16" l="1"/>
  <c r="I99" i="16" s="1"/>
  <c r="F91" i="16"/>
  <c r="F104" i="16"/>
  <c r="F57" i="16"/>
  <c r="F119" i="16"/>
  <c r="L121" i="16"/>
  <c r="F14" i="16"/>
  <c r="J27" i="16"/>
  <c r="F126" i="16"/>
  <c r="N10" i="16"/>
  <c r="F63" i="16"/>
  <c r="F125" i="16"/>
  <c r="J74" i="16"/>
  <c r="L12" i="16"/>
  <c r="F86" i="16"/>
  <c r="F50" i="16"/>
  <c r="F17" i="16"/>
  <c r="F40" i="16"/>
  <c r="L33" i="16"/>
  <c r="F25" i="16"/>
  <c r="J100" i="16"/>
  <c r="J93" i="7"/>
  <c r="J48" i="16"/>
  <c r="J25" i="16"/>
  <c r="F99" i="16"/>
  <c r="F101" i="16"/>
  <c r="N86" i="16"/>
  <c r="F9" i="16"/>
  <c r="N54" i="16"/>
  <c r="J64" i="16"/>
  <c r="F111" i="16"/>
  <c r="N74" i="16"/>
  <c r="F48" i="16"/>
  <c r="L13" i="16"/>
  <c r="J104" i="16"/>
  <c r="J15" i="16"/>
  <c r="F74" i="16"/>
  <c r="J62" i="16"/>
  <c r="L9" i="16"/>
  <c r="L63" i="16"/>
  <c r="J29" i="16"/>
  <c r="J24" i="16"/>
  <c r="F24" i="16"/>
  <c r="J111" i="16"/>
  <c r="F89" i="16"/>
  <c r="L89" i="16"/>
  <c r="F62" i="16"/>
  <c r="F49" i="16"/>
  <c r="N9" i="16"/>
  <c r="N62" i="16"/>
  <c r="J54" i="16"/>
  <c r="J117" i="16"/>
  <c r="N124" i="16"/>
  <c r="L64" i="16"/>
  <c r="J58" i="16"/>
  <c r="L35" i="16"/>
  <c r="N89" i="16"/>
  <c r="F110" i="16"/>
  <c r="J28" i="16"/>
  <c r="F13" i="16"/>
  <c r="F29" i="16"/>
  <c r="F35" i="16"/>
  <c r="J7" i="16"/>
  <c r="F93" i="16"/>
  <c r="L125" i="16"/>
  <c r="L74" i="16"/>
  <c r="N113" i="16"/>
  <c r="L85" i="16"/>
  <c r="J57" i="16"/>
  <c r="E100" i="16" l="1"/>
  <c r="E101" i="16" s="1"/>
  <c r="E103" i="16" s="1"/>
  <c r="E39" i="16" s="1"/>
  <c r="E45" i="16" s="1"/>
  <c r="E47" i="18"/>
  <c r="K44" i="18"/>
  <c r="E142" i="18"/>
  <c r="E99" i="18"/>
  <c r="E41" i="16"/>
  <c r="I43" i="18"/>
  <c r="M147" i="18"/>
  <c r="K147" i="18"/>
  <c r="E65" i="18"/>
  <c r="E98" i="18" s="1"/>
  <c r="E146" i="18"/>
  <c r="M42" i="18"/>
  <c r="K42" i="18"/>
  <c r="M64" i="18"/>
  <c r="I64" i="18" s="1"/>
  <c r="M40" i="18"/>
  <c r="E63" i="18"/>
  <c r="E96" i="18" s="1"/>
  <c r="E144" i="18"/>
  <c r="K40" i="18"/>
  <c r="M145" i="18"/>
  <c r="M88" i="18" s="1"/>
  <c r="K145" i="18"/>
  <c r="I41" i="18"/>
  <c r="K72" i="18"/>
  <c r="I72" i="18" s="1"/>
  <c r="M93" i="18"/>
  <c r="M84" i="16"/>
  <c r="M86" i="16"/>
  <c r="M126" i="16"/>
  <c r="M121" i="16"/>
  <c r="M125" i="16"/>
  <c r="M124" i="16"/>
  <c r="K33" i="16"/>
  <c r="M33" i="16"/>
  <c r="K84" i="18"/>
  <c r="K11" i="18" s="1"/>
  <c r="I60" i="18"/>
  <c r="I66" i="18"/>
  <c r="I153" i="18"/>
  <c r="M74" i="16"/>
  <c r="I74" i="16"/>
  <c r="I104" i="16"/>
  <c r="K86" i="16"/>
  <c r="E48" i="16"/>
  <c r="E85" i="16"/>
  <c r="M85" i="16" s="1"/>
  <c r="K126" i="16"/>
  <c r="M117" i="16"/>
  <c r="K119" i="16"/>
  <c r="K91" i="16"/>
  <c r="K125" i="16"/>
  <c r="K120" i="16"/>
  <c r="K124" i="16"/>
  <c r="K117" i="16"/>
  <c r="K74" i="16"/>
  <c r="K84" i="16"/>
  <c r="K89" i="16"/>
  <c r="K121" i="16"/>
  <c r="E28" i="7"/>
  <c r="E118" i="7"/>
  <c r="E117" i="7"/>
  <c r="E110" i="7"/>
  <c r="M110" i="7" s="1"/>
  <c r="E111" i="7"/>
  <c r="E109" i="7"/>
  <c r="M109" i="7" s="1"/>
  <c r="M107" i="7"/>
  <c r="E105" i="7"/>
  <c r="E104" i="7"/>
  <c r="M104" i="7" s="1"/>
  <c r="F121" i="7"/>
  <c r="F109" i="7"/>
  <c r="F116" i="7"/>
  <c r="F129" i="7"/>
  <c r="F36" i="7"/>
  <c r="F35" i="7"/>
  <c r="F127" i="7"/>
  <c r="F28" i="7"/>
  <c r="F110" i="7"/>
  <c r="F128" i="7"/>
  <c r="F102" i="7"/>
  <c r="F104" i="7"/>
  <c r="F118" i="7"/>
  <c r="F105" i="7"/>
  <c r="F34" i="7"/>
  <c r="F124" i="7"/>
  <c r="F117" i="7"/>
  <c r="F107" i="7"/>
  <c r="F111" i="7"/>
  <c r="E111" i="16" l="1"/>
  <c r="E112" i="16" s="1"/>
  <c r="M48" i="16"/>
  <c r="E62" i="16"/>
  <c r="E68" i="16"/>
  <c r="E13" i="16"/>
  <c r="E16" i="18"/>
  <c r="K46" i="18"/>
  <c r="M46" i="18"/>
  <c r="M105" i="7"/>
  <c r="M111" i="7"/>
  <c r="E38" i="16"/>
  <c r="M112" i="16"/>
  <c r="E150" i="18"/>
  <c r="K150" i="18" s="1"/>
  <c r="E69" i="18"/>
  <c r="E102" i="18" s="1"/>
  <c r="K93" i="18"/>
  <c r="K45" i="18"/>
  <c r="I44" i="18"/>
  <c r="M45" i="18"/>
  <c r="I42" i="18"/>
  <c r="K65" i="18"/>
  <c r="M65" i="18"/>
  <c r="M146" i="18"/>
  <c r="M89" i="18" s="1"/>
  <c r="K146" i="18"/>
  <c r="K77" i="18" s="1"/>
  <c r="E111" i="18"/>
  <c r="K78" i="18"/>
  <c r="K90" i="18"/>
  <c r="K15" i="18" s="1"/>
  <c r="M90" i="18"/>
  <c r="M15" i="18" s="1"/>
  <c r="M78" i="18"/>
  <c r="E109" i="18"/>
  <c r="M76" i="18"/>
  <c r="M97" i="18" s="1"/>
  <c r="K63" i="18"/>
  <c r="I40" i="18"/>
  <c r="M144" i="18"/>
  <c r="M75" i="18" s="1"/>
  <c r="K144" i="18"/>
  <c r="M63" i="18"/>
  <c r="K88" i="18"/>
  <c r="K76" i="18"/>
  <c r="K34" i="16"/>
  <c r="M34" i="16"/>
  <c r="I84" i="18"/>
  <c r="I93" i="18" s="1"/>
  <c r="K153" i="18"/>
  <c r="K112" i="16"/>
  <c r="K48" i="16"/>
  <c r="K85" i="16"/>
  <c r="I33" i="16"/>
  <c r="E73" i="7"/>
  <c r="F73" i="7"/>
  <c r="E91" i="7" l="1"/>
  <c r="E36" i="7" s="1"/>
  <c r="E9" i="18"/>
  <c r="E51" i="16"/>
  <c r="E71" i="16" s="1"/>
  <c r="K57" i="16"/>
  <c r="K62" i="16" s="1"/>
  <c r="I112" i="16"/>
  <c r="I111" i="16"/>
  <c r="M57" i="16"/>
  <c r="E44" i="16"/>
  <c r="I45" i="18"/>
  <c r="I46" i="18"/>
  <c r="E39" i="7"/>
  <c r="M150" i="18"/>
  <c r="E115" i="18"/>
  <c r="K89" i="18"/>
  <c r="K98" i="18" s="1"/>
  <c r="M99" i="18"/>
  <c r="M77" i="18"/>
  <c r="I90" i="18"/>
  <c r="K99" i="18"/>
  <c r="I78" i="18"/>
  <c r="I65" i="18"/>
  <c r="I76" i="18"/>
  <c r="K97" i="18"/>
  <c r="I88" i="18"/>
  <c r="K87" i="18"/>
  <c r="K75" i="18"/>
  <c r="M87" i="18"/>
  <c r="M96" i="18" s="1"/>
  <c r="I63" i="18"/>
  <c r="M73" i="7"/>
  <c r="I106" i="18"/>
  <c r="I19" i="18" s="1"/>
  <c r="I11" i="18"/>
  <c r="I48" i="16"/>
  <c r="I34" i="16"/>
  <c r="E74" i="7"/>
  <c r="M74" i="7" s="1"/>
  <c r="F74" i="7"/>
  <c r="E97" i="7" l="1"/>
  <c r="E129" i="7" s="1"/>
  <c r="G9" i="18"/>
  <c r="I112" i="18"/>
  <c r="I25" i="18" s="1"/>
  <c r="E50" i="16"/>
  <c r="E64" i="16" s="1"/>
  <c r="K13" i="16"/>
  <c r="M62" i="16"/>
  <c r="M13" i="16"/>
  <c r="I113" i="16"/>
  <c r="M52" i="18"/>
  <c r="M57" i="18" s="1"/>
  <c r="K52" i="18"/>
  <c r="K57" i="18" s="1"/>
  <c r="I89" i="18"/>
  <c r="I77" i="18"/>
  <c r="I99" i="18"/>
  <c r="M98" i="18"/>
  <c r="I87" i="18"/>
  <c r="K96" i="18"/>
  <c r="I110" i="18"/>
  <c r="I23" i="18" s="1"/>
  <c r="I97" i="18"/>
  <c r="I75" i="18"/>
  <c r="I57" i="16"/>
  <c r="I68" i="16" s="1"/>
  <c r="I19" i="16" s="1"/>
  <c r="E75" i="7"/>
  <c r="M75" i="7" s="1"/>
  <c r="F75" i="7"/>
  <c r="E70" i="16" l="1"/>
  <c r="M81" i="18"/>
  <c r="M69" i="18"/>
  <c r="K69" i="18"/>
  <c r="K81" i="18"/>
  <c r="I98" i="18"/>
  <c r="I111" i="18"/>
  <c r="I24" i="18" s="1"/>
  <c r="I96" i="18"/>
  <c r="I109" i="18"/>
  <c r="I22" i="18" s="1"/>
  <c r="F39" i="7"/>
  <c r="F40" i="7"/>
  <c r="F41" i="7"/>
  <c r="K102" i="18" l="1"/>
  <c r="M102" i="18"/>
  <c r="I69" i="18"/>
  <c r="E78" i="7"/>
  <c r="E89" i="7" s="1"/>
  <c r="F78" i="7"/>
  <c r="M78" i="7" l="1"/>
  <c r="F79" i="7"/>
  <c r="M34" i="7" l="1"/>
  <c r="K34" i="7"/>
  <c r="M79" i="7"/>
  <c r="M89" i="7" s="1"/>
  <c r="E102" i="7"/>
  <c r="F90" i="7"/>
  <c r="F64" i="7"/>
  <c r="F93" i="7"/>
  <c r="F89" i="7"/>
  <c r="I34" i="7" l="1"/>
  <c r="E85" i="7"/>
  <c r="E86" i="7" s="1"/>
  <c r="F85" i="7"/>
  <c r="F70" i="7"/>
  <c r="M85" i="7" l="1"/>
  <c r="K85" i="7"/>
  <c r="E49" i="7" l="1"/>
  <c r="M86" i="7"/>
  <c r="K86" i="7"/>
  <c r="E93" i="7"/>
  <c r="E35" i="7" s="1"/>
  <c r="E90" i="7"/>
  <c r="M90" i="7" s="1"/>
  <c r="E13" i="7" l="1"/>
  <c r="E54" i="7"/>
  <c r="E51" i="7"/>
  <c r="E56" i="7" s="1"/>
  <c r="E48" i="7"/>
  <c r="E41" i="7"/>
  <c r="E83" i="7"/>
  <c r="E84" i="7" s="1"/>
  <c r="E95" i="7"/>
  <c r="E44" i="7" s="1"/>
  <c r="M35" i="7"/>
  <c r="E25" i="7"/>
  <c r="K90" i="7"/>
  <c r="M91" i="7"/>
  <c r="K35" i="7"/>
  <c r="E59" i="7"/>
  <c r="E40" i="7"/>
  <c r="E50" i="7"/>
  <c r="E14" i="7" s="1"/>
  <c r="I93" i="7"/>
  <c r="M102" i="7"/>
  <c r="K102" i="7"/>
  <c r="K111" i="7"/>
  <c r="K110" i="7"/>
  <c r="K109" i="7"/>
  <c r="K107" i="7"/>
  <c r="K105" i="7"/>
  <c r="K104" i="7"/>
  <c r="I70" i="7"/>
  <c r="I96" i="7" s="1"/>
  <c r="K79" i="7"/>
  <c r="K78" i="7"/>
  <c r="K75" i="7"/>
  <c r="K74" i="7"/>
  <c r="K73" i="7"/>
  <c r="K39" i="7" s="1"/>
  <c r="E45" i="7" l="1"/>
  <c r="E17" i="7" s="1"/>
  <c r="E61" i="7"/>
  <c r="E15" i="7"/>
  <c r="E12" i="7" s="1"/>
  <c r="E60" i="7"/>
  <c r="M93" i="7"/>
  <c r="M50" i="7" s="1"/>
  <c r="M49" i="7"/>
  <c r="K89" i="7"/>
  <c r="K91" i="7" s="1"/>
  <c r="E55" i="7"/>
  <c r="E26" i="7" s="1"/>
  <c r="M39" i="7"/>
  <c r="L74" i="7"/>
  <c r="L93" i="7"/>
  <c r="F95" i="7"/>
  <c r="L83" i="7"/>
  <c r="N95" i="7"/>
  <c r="L14" i="7"/>
  <c r="L12" i="7"/>
  <c r="L54" i="7"/>
  <c r="L10" i="7"/>
  <c r="L110" i="7"/>
  <c r="L73" i="7"/>
  <c r="L48" i="7"/>
  <c r="L75" i="7"/>
  <c r="L79" i="7"/>
  <c r="L34" i="7"/>
  <c r="L49" i="7"/>
  <c r="L111" i="7"/>
  <c r="L13" i="7"/>
  <c r="L104" i="7"/>
  <c r="L78" i="7"/>
  <c r="L51" i="7"/>
  <c r="L35" i="7"/>
  <c r="L82" i="7"/>
  <c r="L41" i="7"/>
  <c r="L50" i="7"/>
  <c r="L102" i="7"/>
  <c r="J96" i="7"/>
  <c r="L95" i="7"/>
  <c r="L40" i="7"/>
  <c r="J95" i="7"/>
  <c r="L15" i="7"/>
  <c r="L65" i="7"/>
  <c r="L84" i="7"/>
  <c r="N102" i="7"/>
  <c r="F96" i="7"/>
  <c r="L36" i="7"/>
  <c r="N83" i="7"/>
  <c r="L109" i="7"/>
  <c r="L105" i="7"/>
  <c r="L39" i="7"/>
  <c r="L107" i="7"/>
  <c r="J70" i="7"/>
  <c r="E16" i="7" l="1"/>
  <c r="E11" i="7" s="1"/>
  <c r="M14" i="7"/>
  <c r="M36" i="7"/>
  <c r="K93" i="7"/>
  <c r="K49" i="7"/>
  <c r="M13" i="7"/>
  <c r="M54" i="7"/>
  <c r="M95" i="7"/>
  <c r="K36" i="7"/>
  <c r="I39" i="7"/>
  <c r="N104" i="7"/>
  <c r="N39" i="7"/>
  <c r="N50" i="7"/>
  <c r="N82" i="7"/>
  <c r="N56" i="7"/>
  <c r="N41" i="7"/>
  <c r="F45" i="7"/>
  <c r="N13" i="7"/>
  <c r="N93" i="7"/>
  <c r="N109" i="7"/>
  <c r="N64" i="7"/>
  <c r="N15" i="7"/>
  <c r="N75" i="7"/>
  <c r="N35" i="7"/>
  <c r="N34" i="7"/>
  <c r="N54" i="7"/>
  <c r="N10" i="7"/>
  <c r="N14" i="7"/>
  <c r="N111" i="7"/>
  <c r="N48" i="7"/>
  <c r="N74" i="7"/>
  <c r="N51" i="7"/>
  <c r="N105" i="7"/>
  <c r="N49" i="7"/>
  <c r="N65" i="7"/>
  <c r="N110" i="7"/>
  <c r="N36" i="7"/>
  <c r="N73" i="7"/>
  <c r="N40" i="7"/>
  <c r="K51" i="7" l="1"/>
  <c r="K56" i="7" s="1"/>
  <c r="K48" i="7"/>
  <c r="M83" i="7"/>
  <c r="M84" i="7" s="1"/>
  <c r="M51" i="7"/>
  <c r="M56" i="7" s="1"/>
  <c r="M48" i="7"/>
  <c r="K13" i="7"/>
  <c r="I13" i="7" s="1"/>
  <c r="K54" i="7"/>
  <c r="K50" i="7"/>
  <c r="K95" i="7"/>
  <c r="K41" i="7"/>
  <c r="K83" i="7"/>
  <c r="K84" i="7" s="1"/>
  <c r="I49" i="7"/>
  <c r="I59" i="7" s="1"/>
  <c r="I19" i="7" s="1"/>
  <c r="M41" i="7"/>
  <c r="I36" i="7"/>
  <c r="I28" i="7"/>
  <c r="I124" i="7"/>
  <c r="I117" i="7"/>
  <c r="I118" i="7"/>
  <c r="I102" i="7"/>
  <c r="J34" i="7"/>
  <c r="J116" i="7"/>
  <c r="N55" i="7"/>
  <c r="J127" i="7"/>
  <c r="J10" i="7"/>
  <c r="J25" i="7"/>
  <c r="J7" i="7"/>
  <c r="J15" i="7"/>
  <c r="J128" i="7"/>
  <c r="J9" i="7"/>
  <c r="F55" i="7"/>
  <c r="F56" i="7"/>
  <c r="J121" i="7"/>
  <c r="F83" i="7"/>
  <c r="J54" i="7"/>
  <c r="J102" i="7"/>
  <c r="J51" i="7"/>
  <c r="J84" i="7"/>
  <c r="J56" i="7"/>
  <c r="J24" i="7"/>
  <c r="J40" i="7"/>
  <c r="J65" i="7"/>
  <c r="J27" i="7"/>
  <c r="J55" i="7"/>
  <c r="N79" i="7"/>
  <c r="J17" i="7"/>
  <c r="N84" i="7"/>
  <c r="J83" i="7"/>
  <c r="N12" i="7"/>
  <c r="F54" i="7"/>
  <c r="J118" i="7"/>
  <c r="J36" i="7"/>
  <c r="J14" i="7"/>
  <c r="N78" i="7"/>
  <c r="J124" i="7"/>
  <c r="J39" i="7"/>
  <c r="J45" i="7"/>
  <c r="J48" i="7"/>
  <c r="J13" i="7"/>
  <c r="J35" i="7"/>
  <c r="N107" i="7"/>
  <c r="J129" i="7"/>
  <c r="J117" i="7"/>
  <c r="J50" i="7"/>
  <c r="J12" i="7"/>
  <c r="J23" i="7"/>
  <c r="J49" i="7"/>
  <c r="F82" i="7"/>
  <c r="J26" i="7"/>
  <c r="J41" i="7"/>
  <c r="M15" i="7" l="1"/>
  <c r="I84" i="7"/>
  <c r="I61" i="7" s="1"/>
  <c r="K14" i="7"/>
  <c r="I14" i="7" s="1"/>
  <c r="K15" i="7"/>
  <c r="I48" i="7"/>
  <c r="I41" i="7"/>
  <c r="I83" i="7"/>
  <c r="I15" i="7" l="1"/>
  <c r="M40" i="7"/>
  <c r="M55" i="7" s="1"/>
  <c r="I35" i="7"/>
  <c r="K40" i="7"/>
  <c r="K55" i="7" s="1"/>
  <c r="I45" i="7" l="1"/>
  <c r="I25" i="7"/>
  <c r="N25" i="13" s="1"/>
  <c r="I50" i="7"/>
  <c r="I95" i="7"/>
  <c r="I44" i="7" s="1"/>
  <c r="I40" i="7"/>
  <c r="I17" i="7" l="1"/>
  <c r="I60" i="7"/>
  <c r="I20" i="7" s="1"/>
  <c r="I21" i="7"/>
  <c r="F49" i="7"/>
  <c r="F48" i="7"/>
  <c r="F65" i="7"/>
  <c r="F50" i="7"/>
  <c r="I55" i="7" l="1"/>
  <c r="F24" i="7"/>
  <c r="F9" i="7"/>
  <c r="F27" i="7"/>
  <c r="F15" i="7"/>
  <c r="F26" i="7"/>
  <c r="F13" i="7"/>
  <c r="F23" i="7"/>
  <c r="F10" i="7"/>
  <c r="F51" i="7"/>
  <c r="F12" i="7"/>
  <c r="F7" i="7"/>
  <c r="F25" i="7"/>
  <c r="F14" i="7"/>
  <c r="M12" i="7" l="1"/>
  <c r="I129" i="7" l="1"/>
  <c r="I54" i="7" l="1"/>
  <c r="M45" i="7" l="1"/>
  <c r="K45" i="7"/>
  <c r="I51" i="7" l="1"/>
  <c r="K12" i="7" l="1"/>
  <c r="I56" i="7"/>
  <c r="I12" i="7" l="1"/>
  <c r="N30" i="13" l="1"/>
  <c r="N29" i="13" s="1"/>
  <c r="N14" i="13"/>
  <c r="K94" i="16" l="1"/>
  <c r="K110" i="16" s="1"/>
  <c r="M94" i="16" l="1"/>
  <c r="M110" i="16" s="1"/>
  <c r="K39" i="18" l="1"/>
  <c r="K62" i="18" s="1"/>
  <c r="M38" i="18"/>
  <c r="M61" i="18" s="1"/>
  <c r="E143" i="18"/>
  <c r="K143" i="18" s="1"/>
  <c r="M39" i="18"/>
  <c r="E61" i="18"/>
  <c r="E62" i="18"/>
  <c r="E95" i="18" s="1"/>
  <c r="E107" i="18" l="1"/>
  <c r="E94" i="18"/>
  <c r="K86" i="18"/>
  <c r="K12" i="18" s="1"/>
  <c r="M62" i="18"/>
  <c r="I62" i="18" s="1"/>
  <c r="M143" i="18"/>
  <c r="M74" i="18" s="1"/>
  <c r="K74" i="18"/>
  <c r="K38" i="18"/>
  <c r="I39" i="18"/>
  <c r="E108" i="18"/>
  <c r="K95" i="18" l="1"/>
  <c r="I74" i="18"/>
  <c r="M86" i="18"/>
  <c r="M12" i="18" s="1"/>
  <c r="M142" i="18"/>
  <c r="K142" i="18"/>
  <c r="K73" i="18" s="1"/>
  <c r="I38" i="18"/>
  <c r="I47" i="18" s="1"/>
  <c r="K61" i="18"/>
  <c r="I61" i="18" s="1"/>
  <c r="K85" i="18" l="1"/>
  <c r="K13" i="18" s="1"/>
  <c r="M95" i="18"/>
  <c r="I86" i="18"/>
  <c r="M73" i="18"/>
  <c r="M85" i="18"/>
  <c r="M13" i="18" l="1"/>
  <c r="M94" i="18"/>
  <c r="K94" i="18"/>
  <c r="I95" i="18"/>
  <c r="I108" i="18"/>
  <c r="I21" i="18" s="1"/>
  <c r="I85" i="18"/>
  <c r="I73" i="18"/>
  <c r="I13" i="18" l="1"/>
  <c r="I12" i="18"/>
  <c r="I107" i="18"/>
  <c r="I20" i="18" s="1"/>
  <c r="I94" i="18"/>
  <c r="I81" i="18" l="1"/>
  <c r="I102" i="18" l="1"/>
  <c r="I115" i="18"/>
  <c r="I28" i="18" s="1"/>
  <c r="I18" i="7" l="1"/>
  <c r="I16" i="7" s="1"/>
  <c r="I11" i="7" s="1"/>
  <c r="N20" i="13" l="1"/>
  <c r="E127" i="7" l="1"/>
  <c r="E128" i="7"/>
  <c r="I128" i="7" s="1"/>
  <c r="E116" i="7"/>
  <c r="I116" i="7" s="1"/>
  <c r="I27" i="7" s="1"/>
  <c r="E64" i="7"/>
  <c r="E65" i="7" s="1"/>
  <c r="E10" i="7" s="1"/>
  <c r="E9" i="7" s="1"/>
  <c r="I121" i="7"/>
  <c r="K121" i="7" s="1"/>
  <c r="K26" i="7" s="1"/>
  <c r="I127" i="7" l="1"/>
  <c r="I24" i="7" s="1"/>
  <c r="E24" i="7"/>
  <c r="E27" i="7"/>
  <c r="N27" i="13" s="1"/>
  <c r="M64" i="7"/>
  <c r="M65" i="7" s="1"/>
  <c r="M121" i="7"/>
  <c r="K64" i="7"/>
  <c r="K65" i="7" s="1"/>
  <c r="K10" i="7" s="1"/>
  <c r="M26" i="7" l="1"/>
  <c r="I26" i="7" s="1"/>
  <c r="E23" i="7"/>
  <c r="G23" i="7" s="1"/>
  <c r="M10" i="7"/>
  <c r="N19" i="13"/>
  <c r="I65" i="7"/>
  <c r="G9" i="7"/>
  <c r="N23" i="13"/>
  <c r="N26" i="13" l="1"/>
  <c r="N22" i="13" s="1"/>
  <c r="I23" i="7"/>
  <c r="N18" i="13"/>
  <c r="N17" i="13" s="1"/>
  <c r="I10" i="7"/>
  <c r="E7" i="7"/>
  <c r="G7" i="7" s="1"/>
  <c r="N32" i="13" s="1"/>
  <c r="N13" i="13" l="1"/>
  <c r="N12" i="13" s="1"/>
  <c r="I9" i="7"/>
  <c r="I7" i="7" s="1"/>
  <c r="N8" i="13" s="1"/>
  <c r="N10" i="13" s="1"/>
  <c r="N6" i="13"/>
  <c r="N9" i="13" l="1"/>
  <c r="N7" i="13"/>
  <c r="E56" i="18" l="1"/>
  <c r="E149" i="18" l="1"/>
  <c r="K149" i="18" s="1"/>
  <c r="E68" i="18"/>
  <c r="E114" i="18" s="1"/>
  <c r="I56" i="18"/>
  <c r="M149" i="18" l="1"/>
  <c r="E101" i="18"/>
  <c r="I51" i="18"/>
  <c r="M51" i="18" l="1"/>
  <c r="M56" i="18" s="1"/>
  <c r="K51" i="18"/>
  <c r="K56" i="18" s="1"/>
  <c r="K68" i="18" l="1"/>
  <c r="K80" i="18"/>
  <c r="M68" i="18"/>
  <c r="M80" i="18"/>
  <c r="K101" i="18" l="1"/>
  <c r="M101" i="18"/>
  <c r="I80" i="18"/>
  <c r="I68" i="18"/>
  <c r="I101" i="18" l="1"/>
  <c r="I114" i="18"/>
  <c r="I27" i="18" s="1"/>
  <c r="E55" i="18"/>
  <c r="E67" i="18" l="1"/>
  <c r="E100" i="18" s="1"/>
  <c r="E103" i="18" s="1"/>
  <c r="E196" i="18" s="1"/>
  <c r="E148" i="18"/>
  <c r="I55" i="18"/>
  <c r="I50" i="18" l="1"/>
  <c r="I17" i="18" s="1"/>
  <c r="E113" i="18"/>
  <c r="M148" i="18"/>
  <c r="K148" i="18"/>
  <c r="E186" i="18" l="1"/>
  <c r="E194" i="18"/>
  <c r="E189" i="18"/>
  <c r="I189" i="18" s="1"/>
  <c r="K50" i="18"/>
  <c r="K55" i="18" s="1"/>
  <c r="K67" i="18" s="1"/>
  <c r="M50" i="18"/>
  <c r="M55" i="18" s="1"/>
  <c r="M79" i="18" s="1"/>
  <c r="E32" i="18" l="1"/>
  <c r="I186" i="18"/>
  <c r="E33" i="18"/>
  <c r="I194" i="18"/>
  <c r="E31" i="18"/>
  <c r="K79" i="18"/>
  <c r="K14" i="18" s="1"/>
  <c r="K10" i="18" s="1"/>
  <c r="M67" i="18"/>
  <c r="M100" i="18" s="1"/>
  <c r="M103" i="18" s="1"/>
  <c r="M14" i="18"/>
  <c r="M10" i="18" s="1"/>
  <c r="E30" i="18" l="1"/>
  <c r="E7" i="18" s="1"/>
  <c r="G7" i="18" s="1"/>
  <c r="K100" i="18"/>
  <c r="K103" i="18" s="1"/>
  <c r="I67" i="18"/>
  <c r="I79" i="18"/>
  <c r="I14" i="18"/>
  <c r="M9" i="18"/>
  <c r="K9" i="18"/>
  <c r="I15" i="18"/>
  <c r="G30" i="18" l="1"/>
  <c r="I113" i="18"/>
  <c r="I26" i="18" s="1"/>
  <c r="I18" i="18" s="1"/>
  <c r="I16" i="18" s="1"/>
  <c r="I100" i="18"/>
  <c r="I103" i="18" s="1"/>
  <c r="I10" i="18"/>
  <c r="P30" i="13" s="1"/>
  <c r="P32" i="13" l="1"/>
  <c r="P6" i="13"/>
  <c r="I32" i="18"/>
  <c r="I31" i="18"/>
  <c r="I9" i="18"/>
  <c r="P20" i="13"/>
  <c r="I33" i="18"/>
  <c r="I30" i="18" l="1"/>
  <c r="P14" i="13"/>
  <c r="P12" i="13" s="1"/>
  <c r="P29" i="13"/>
  <c r="P23" i="13"/>
  <c r="P19" i="13"/>
  <c r="P27" i="13"/>
  <c r="P18" i="13"/>
  <c r="P26" i="13"/>
  <c r="I7" i="18" l="1"/>
  <c r="P8" i="13" s="1"/>
  <c r="P17" i="13"/>
  <c r="P22" i="13"/>
  <c r="P9" i="13" l="1"/>
  <c r="P10" i="13"/>
  <c r="P7" i="13"/>
  <c r="E12" i="16"/>
  <c r="E113" i="16"/>
  <c r="E40" i="16" s="1"/>
  <c r="E17" i="16" s="1"/>
  <c r="E108" i="16" l="1"/>
  <c r="K108" i="16" s="1"/>
  <c r="E49" i="16"/>
  <c r="E63" i="16" s="1"/>
  <c r="E16" i="16"/>
  <c r="E11" i="16" s="1"/>
  <c r="E69" i="16" l="1"/>
  <c r="M108" i="16"/>
  <c r="M113" i="16" l="1"/>
  <c r="E75" i="16"/>
  <c r="E10" i="16" s="1"/>
  <c r="E65" i="16"/>
  <c r="E143" i="16" l="1"/>
  <c r="K113" i="16"/>
  <c r="E9" i="16"/>
  <c r="E137" i="16" l="1"/>
  <c r="E131" i="16"/>
  <c r="E141" i="16"/>
  <c r="E134" i="16"/>
  <c r="G9" i="16"/>
  <c r="I40" i="16"/>
  <c r="I131" i="16" l="1"/>
  <c r="E25" i="16"/>
  <c r="I134" i="16"/>
  <c r="E28" i="16"/>
  <c r="I141" i="16"/>
  <c r="E26" i="16"/>
  <c r="I137" i="16"/>
  <c r="E27" i="16"/>
  <c r="K40" i="16"/>
  <c r="M40" i="16"/>
  <c r="E24" i="16" l="1"/>
  <c r="M49" i="16"/>
  <c r="M58" i="16"/>
  <c r="M14" i="16" s="1"/>
  <c r="K49" i="16"/>
  <c r="K58" i="16"/>
  <c r="I13" i="16"/>
  <c r="I62" i="16"/>
  <c r="G24" i="16" l="1"/>
  <c r="E7" i="16"/>
  <c r="G7" i="16" s="1"/>
  <c r="I49" i="16"/>
  <c r="K63" i="16"/>
  <c r="K75" i="16" s="1"/>
  <c r="K10" i="16" s="1"/>
  <c r="K14" i="16"/>
  <c r="I58" i="16"/>
  <c r="M63" i="16"/>
  <c r="M75" i="16" s="1"/>
  <c r="M10" i="16" s="1"/>
  <c r="M9" i="16" s="1"/>
  <c r="R32" i="13" l="1"/>
  <c r="R6" i="13"/>
  <c r="I69" i="16"/>
  <c r="I20" i="16" s="1"/>
  <c r="I75" i="16"/>
  <c r="K9" i="16"/>
  <c r="I14" i="16"/>
  <c r="I63" i="16"/>
  <c r="I10" i="16"/>
  <c r="R15" i="13" s="1"/>
  <c r="M35" i="16" l="1"/>
  <c r="I110" i="16"/>
  <c r="I41" i="16" s="1"/>
  <c r="M41" i="16" s="1"/>
  <c r="K35" i="16"/>
  <c r="I35" i="16" l="1"/>
  <c r="I98" i="16" s="1"/>
  <c r="I100" i="16" s="1"/>
  <c r="K41" i="16"/>
  <c r="K98" i="16" l="1"/>
  <c r="M98" i="16" s="1"/>
  <c r="I101" i="16"/>
  <c r="I103" i="16" s="1"/>
  <c r="I39" i="16" s="1"/>
  <c r="I38" i="16"/>
  <c r="M38" i="16" s="1"/>
  <c r="K100" i="16"/>
  <c r="M100" i="16" s="1"/>
  <c r="K101" i="16" l="1"/>
  <c r="M101" i="16" s="1"/>
  <c r="M44" i="16" s="1"/>
  <c r="M50" i="16" s="1"/>
  <c r="I45" i="16"/>
  <c r="M39" i="16"/>
  <c r="M45" i="16" s="1"/>
  <c r="K39" i="16"/>
  <c r="K45" i="16" s="1"/>
  <c r="K54" i="16" s="1"/>
  <c r="I44" i="16"/>
  <c r="K38" i="16"/>
  <c r="I17" i="16"/>
  <c r="K44" i="16" l="1"/>
  <c r="K50" i="16" s="1"/>
  <c r="I50" i="16" s="1"/>
  <c r="I70" i="16" s="1"/>
  <c r="I21" i="16" s="1"/>
  <c r="I18" i="16" s="1"/>
  <c r="I16" i="16" s="1"/>
  <c r="R20" i="13" s="1"/>
  <c r="K51" i="16"/>
  <c r="K59" i="16"/>
  <c r="K15" i="16" s="1"/>
  <c r="M59" i="16"/>
  <c r="M51" i="16"/>
  <c r="M54" i="16"/>
  <c r="K64" i="16" l="1"/>
  <c r="M15" i="16"/>
  <c r="M12" i="16" s="1"/>
  <c r="M64" i="16"/>
  <c r="M65" i="16" s="1"/>
  <c r="I51" i="16"/>
  <c r="I59" i="16"/>
  <c r="I54" i="16"/>
  <c r="I64" i="16" l="1"/>
  <c r="I65" i="16" s="1"/>
  <c r="I25" i="16" s="1"/>
  <c r="K12" i="16"/>
  <c r="I15" i="16"/>
  <c r="I12" i="16" s="1"/>
  <c r="K65" i="16"/>
  <c r="I71" i="16"/>
  <c r="I28" i="16" l="1"/>
  <c r="I26" i="16"/>
  <c r="I27" i="16"/>
  <c r="R14" i="13"/>
  <c r="R12" i="13" s="1"/>
  <c r="I11" i="16"/>
  <c r="I9" i="16" s="1"/>
  <c r="R30" i="13"/>
  <c r="R29" i="13" s="1"/>
  <c r="I24" i="16" l="1"/>
  <c r="I7" i="16" s="1"/>
  <c r="R26" i="13"/>
  <c r="R18" i="13"/>
  <c r="R24" i="13"/>
  <c r="R19" i="13"/>
  <c r="R27" i="13"/>
  <c r="R7" i="13" l="1"/>
  <c r="R22" i="13"/>
  <c r="R17" i="13"/>
  <c r="R8" i="13" l="1"/>
  <c r="R9" i="13" s="1"/>
</calcChain>
</file>

<file path=xl/sharedStrings.xml><?xml version="1.0" encoding="utf-8"?>
<sst xmlns="http://schemas.openxmlformats.org/spreadsheetml/2006/main" count="1409" uniqueCount="535">
  <si>
    <t>Animal health</t>
  </si>
  <si>
    <t>Replacement rate</t>
  </si>
  <si>
    <t>Breeding and herd improvement</t>
  </si>
  <si>
    <t>% per year</t>
  </si>
  <si>
    <t>Milk price</t>
  </si>
  <si>
    <t>NZ$ per kg MS</t>
  </si>
  <si>
    <t>NZ$ per stock</t>
  </si>
  <si>
    <t>NZ$ per stock per year</t>
  </si>
  <si>
    <t>Feed costs</t>
  </si>
  <si>
    <t>Income from milk</t>
  </si>
  <si>
    <t>Labour</t>
  </si>
  <si>
    <t>Labour costs</t>
  </si>
  <si>
    <t>NZ$ per farm per year</t>
  </si>
  <si>
    <t>%</t>
  </si>
  <si>
    <t>Dairy</t>
  </si>
  <si>
    <t>Beef</t>
  </si>
  <si>
    <t>Sheep</t>
  </si>
  <si>
    <t>Assumptions</t>
  </si>
  <si>
    <t>Breeding costs</t>
  </si>
  <si>
    <t>Animal health costs</t>
  </si>
  <si>
    <t>Livestock purchase</t>
  </si>
  <si>
    <t>Milk payout received by farmers; 2019-20 owner-operator (90%)</t>
  </si>
  <si>
    <t>2019-20 owner-operator average (average of Q1-4)</t>
  </si>
  <si>
    <t>2019-20 owner-operator average</t>
  </si>
  <si>
    <t>2019-20 owner-operator average; artificial breeding (AB) x 1.38 times (average) and pregnancy test</t>
  </si>
  <si>
    <t>Cuttance 2017</t>
  </si>
  <si>
    <t>Avearge of 4 regions (Waikato Taranaki South Canterbury North Otago)</t>
  </si>
  <si>
    <t>Inland Revenue</t>
  </si>
  <si>
    <t>Type</t>
  </si>
  <si>
    <t>Income from livestock sales</t>
  </si>
  <si>
    <t>Abortion rate</t>
  </si>
  <si>
    <t>LIC Reproduction Statistics</t>
  </si>
  <si>
    <t>Weston 2011</t>
  </si>
  <si>
    <t>Clinical trials Neospora caninum seronegative animals (72/1990)</t>
  </si>
  <si>
    <t>per year</t>
  </si>
  <si>
    <t>National average market values, 2021</t>
  </si>
  <si>
    <t>DairyNZ Economic Survey 2019-20</t>
  </si>
  <si>
    <t>Peak cows milked, owner-operator average (5-95% range)</t>
  </si>
  <si>
    <t>Not-in-calf rate</t>
  </si>
  <si>
    <t>Number of calves born alive</t>
  </si>
  <si>
    <t>2020 national average, Q1-3 average</t>
  </si>
  <si>
    <t>Perinatal mortality risk (&lt;24h): 5.7% + postnatal mortality risk (&gt;24h-wean): 4.1% + mortality rate of heifers 1.7% * (1-(13w/52w))</t>
  </si>
  <si>
    <t>Compton, 2018</t>
  </si>
  <si>
    <t>Calf rearing</t>
  </si>
  <si>
    <t>Beef+lamb benchmarking tool</t>
  </si>
  <si>
    <t>Per farm gross margin</t>
  </si>
  <si>
    <t>Cull price of bobby calves</t>
  </si>
  <si>
    <t>Market value of beef calves</t>
  </si>
  <si>
    <t>Reproduction</t>
  </si>
  <si>
    <t>Mortality rate in calves</t>
  </si>
  <si>
    <t>Market value of MA cows</t>
  </si>
  <si>
    <t>Cull price of MA cows</t>
  </si>
  <si>
    <t>Mortality rate in MA cows</t>
  </si>
  <si>
    <t>Morbidity</t>
  </si>
  <si>
    <t>Mortality</t>
  </si>
  <si>
    <t>Milk loss</t>
  </si>
  <si>
    <t>Variable</t>
  </si>
  <si>
    <t>Lower</t>
  </si>
  <si>
    <t>Upper</t>
  </si>
  <si>
    <t>Note</t>
  </si>
  <si>
    <t>Source</t>
  </si>
  <si>
    <t>Baseline scenario</t>
  </si>
  <si>
    <t>Unit</t>
  </si>
  <si>
    <t>Disease scenario</t>
  </si>
  <si>
    <t>Expenses</t>
  </si>
  <si>
    <t>Partial budget</t>
  </si>
  <si>
    <t>% of infected animals</t>
  </si>
  <si>
    <t>Mortality rate in young animals (&lt;1y)</t>
  </si>
  <si>
    <t>% reduction in milk yield</t>
  </si>
  <si>
    <t>Summary</t>
  </si>
  <si>
    <t>Other fixed expenses</t>
  </si>
  <si>
    <t>Mortality rate in mature animals (+1y)</t>
  </si>
  <si>
    <t>% in infected animals</t>
  </si>
  <si>
    <t>Suboptimal sales/culling</t>
  </si>
  <si>
    <t>Infected</t>
  </si>
  <si>
    <t>Not infected</t>
  </si>
  <si>
    <t>% abortion rate due to disease</t>
  </si>
  <si>
    <t>% infertility rate due to disease</t>
  </si>
  <si>
    <t>Milk production</t>
  </si>
  <si>
    <t>% premature culling due to disease</t>
  </si>
  <si>
    <t>Proportion of ewes culled per year</t>
  </si>
  <si>
    <t>Mortality rate in lambs</t>
  </si>
  <si>
    <t>Income from sales of lambs</t>
  </si>
  <si>
    <t>Total loss due to disease</t>
  </si>
  <si>
    <t>National average</t>
  </si>
  <si>
    <t>2019-20 owner-operator average; sum of other farm working expenses (farm dairy, electricity, fertiliser, irrigation, regrassing, weed &amp; pest, vehicles &amp; fuel, repairs &amp; maintenance, freight &amp; general, administration, insurance, ACC, rates)</t>
  </si>
  <si>
    <t>Wool</t>
  </si>
  <si>
    <t>Animal Health</t>
  </si>
  <si>
    <t>Loss</t>
  </si>
  <si>
    <t>Parameters</t>
  </si>
  <si>
    <t>Overall</t>
  </si>
  <si>
    <t>Input</t>
  </si>
  <si>
    <t>Annual MS produced per farm</t>
  </si>
  <si>
    <t>kg MS per farm per year</t>
  </si>
  <si>
    <t>Reproductive performance</t>
  </si>
  <si>
    <t>R1 heifers</t>
  </si>
  <si>
    <t>Northland</t>
  </si>
  <si>
    <t>Waikato</t>
  </si>
  <si>
    <t>Bay of Plenty</t>
  </si>
  <si>
    <t>Taranaki</t>
  </si>
  <si>
    <t>Lower North Island</t>
  </si>
  <si>
    <t>West Coast-Tasman</t>
  </si>
  <si>
    <t>Marlborough-Canterbury</t>
  </si>
  <si>
    <t>Number died</t>
  </si>
  <si>
    <t>MA cows</t>
  </si>
  <si>
    <t>Bobby calves</t>
  </si>
  <si>
    <t>Season average number</t>
  </si>
  <si>
    <t>Culling/selling</t>
  </si>
  <si>
    <t>Market price</t>
  </si>
  <si>
    <t>Within-herd prevalence of disease</t>
  </si>
  <si>
    <t>Mortality rate in hoggets</t>
  </si>
  <si>
    <t>Proportion of hoggets culled per year</t>
  </si>
  <si>
    <t>Hoggets</t>
  </si>
  <si>
    <t>Lambs</t>
  </si>
  <si>
    <t>Wool production</t>
  </si>
  <si>
    <t>Annual wool production per farm</t>
  </si>
  <si>
    <t>kg wool per stock per year</t>
  </si>
  <si>
    <t>kg wool per farm per year</t>
  </si>
  <si>
    <t>Lamb production</t>
  </si>
  <si>
    <t>Number of surplus (+)/shortage (-) ewe lambs</t>
  </si>
  <si>
    <t>Physical performance</t>
  </si>
  <si>
    <t>Mean 2018-19</t>
  </si>
  <si>
    <t>No.</t>
  </si>
  <si>
    <t>Open Sheep</t>
  </si>
  <si>
    <t>SU</t>
  </si>
  <si>
    <t>Open Cattle</t>
  </si>
  <si>
    <t>Ewes mated</t>
  </si>
  <si>
    <t>All Lambs tailed</t>
  </si>
  <si>
    <t>Lambing</t>
  </si>
  <si>
    <t>Hgt lambs % all lambs</t>
  </si>
  <si>
    <t>Cows + Hfrs mated</t>
  </si>
  <si>
    <t>Calves marked</t>
  </si>
  <si>
    <t>Calving</t>
  </si>
  <si>
    <t>Lamb Loss</t>
  </si>
  <si>
    <t>Sheep Loss</t>
  </si>
  <si>
    <t>Calf Loss</t>
  </si>
  <si>
    <t>Cattle Loss</t>
  </si>
  <si>
    <t>Wool Shorn</t>
  </si>
  <si>
    <t>kg/head</t>
  </si>
  <si>
    <t>Wool net before freight</t>
  </si>
  <si>
    <t>c/kg</t>
  </si>
  <si>
    <t>Shearing Expenditure</t>
  </si>
  <si>
    <t>Sales Prime Lambs</t>
  </si>
  <si>
    <t>$/head</t>
  </si>
  <si>
    <t>Sales Store Lambs</t>
  </si>
  <si>
    <t>Sales Prime Hogget</t>
  </si>
  <si>
    <t>Sales Prime Ewes</t>
  </si>
  <si>
    <t>Sales Calf/Wnr Str Store</t>
  </si>
  <si>
    <t>Sales Calf/Wnr Hfr Store</t>
  </si>
  <si>
    <t>Sales Calf/Wnr Bull Store</t>
  </si>
  <si>
    <t>Sales 1-1.5 Steer Store</t>
  </si>
  <si>
    <t>Sales 1-1.5 Heifer Store</t>
  </si>
  <si>
    <t>Sales 1Yr+ Bulls Store</t>
  </si>
  <si>
    <t>Sales 1-1.5 Strs Prime</t>
  </si>
  <si>
    <t>Sales 1-1.5 Hfrs Prime</t>
  </si>
  <si>
    <t>Sales 2Yr+ Hfrs Prime</t>
  </si>
  <si>
    <t>Sales 2Yr+ Strs Prime</t>
  </si>
  <si>
    <t>Sales Prime Cows</t>
  </si>
  <si>
    <t>Sales Prime Bulls</t>
  </si>
  <si>
    <t>$/SU</t>
  </si>
  <si>
    <t>Wages and Salaries</t>
  </si>
  <si>
    <t>Initial number of ewes</t>
  </si>
  <si>
    <t>Initial number of hoggets</t>
  </si>
  <si>
    <t>Mortality rate in ewes</t>
  </si>
  <si>
    <t>Ewes</t>
  </si>
  <si>
    <t>NZ$ per kg wool</t>
  </si>
  <si>
    <t>Store hoggets</t>
  </si>
  <si>
    <t>Store lambs</t>
  </si>
  <si>
    <t>Prime hoggets</t>
  </si>
  <si>
    <t>Prime lambs</t>
  </si>
  <si>
    <t>Shearing expenditure</t>
  </si>
  <si>
    <t>Annual wool shorn per sheep</t>
  </si>
  <si>
    <t>Rams</t>
  </si>
  <si>
    <t>Calf sales</t>
  </si>
  <si>
    <t>Proportion of prime lambs relative to all lambs sold</t>
  </si>
  <si>
    <t>Sales</t>
  </si>
  <si>
    <t>Income from wool</t>
  </si>
  <si>
    <t>Prime ewes</t>
  </si>
  <si>
    <t>Initial total stock unit</t>
  </si>
  <si>
    <t>Number of lambs tailed</t>
  </si>
  <si>
    <t>Proportion of hogget lambs</t>
  </si>
  <si>
    <t>Number sold (store)</t>
  </si>
  <si>
    <t>Number culled (prime)</t>
  </si>
  <si>
    <t>Store ewes</t>
  </si>
  <si>
    <t>NZ$ per stock unit</t>
  </si>
  <si>
    <t>NZ$ per stock unit per year</t>
  </si>
  <si>
    <t>Shearing expenses</t>
  </si>
  <si>
    <t>$/farm</t>
  </si>
  <si>
    <t>Income from culling ewes</t>
  </si>
  <si>
    <t>Income from culling hoggets</t>
  </si>
  <si>
    <t>Total stock unit</t>
  </si>
  <si>
    <t>Stock unit conversion</t>
  </si>
  <si>
    <t>stock units per animal</t>
  </si>
  <si>
    <t>Hoggets/lamb</t>
  </si>
  <si>
    <t>Ewe:ram ratio</t>
  </si>
  <si>
    <t>:1 ram</t>
  </si>
  <si>
    <t>Breeding rams</t>
  </si>
  <si>
    <t>Price of breeding rams</t>
  </si>
  <si>
    <t>Wage per stock</t>
  </si>
  <si>
    <t>2021 NAMV</t>
  </si>
  <si>
    <t>Breeding ram</t>
  </si>
  <si>
    <t>Beef+lamb Quintile Analysis and Forecasts</t>
  </si>
  <si>
    <t>Mortality rate in cattle</t>
  </si>
  <si>
    <t>Two-tooth ewes</t>
  </si>
  <si>
    <t>Price of two-tooth ewes</t>
  </si>
  <si>
    <t>Initial number of R2 steers</t>
  </si>
  <si>
    <t>Initial number of R2 heifers</t>
  </si>
  <si>
    <t>R2 heifers</t>
  </si>
  <si>
    <t>R2 steers</t>
  </si>
  <si>
    <t>Number of calves born</t>
  </si>
  <si>
    <t>Calf heifers</t>
  </si>
  <si>
    <t>Calf steers</t>
  </si>
  <si>
    <t>Calf bulls</t>
  </si>
  <si>
    <t>Calving rate</t>
  </si>
  <si>
    <t>Breeding cows</t>
  </si>
  <si>
    <t>Initial number of breeding cows</t>
  </si>
  <si>
    <t>Proportion of breeding cows sold per year</t>
  </si>
  <si>
    <t>Proportion of R2 heifers sold per year</t>
  </si>
  <si>
    <t>Store R2 heifers</t>
  </si>
  <si>
    <t>Store R2 steers</t>
  </si>
  <si>
    <t>Store calf heifers</t>
  </si>
  <si>
    <t>Store calf steers</t>
  </si>
  <si>
    <t>Store calf bulls</t>
  </si>
  <si>
    <t>Prime breeding cows</t>
  </si>
  <si>
    <t>Prime R2 heifers</t>
  </si>
  <si>
    <t>Prime R2 steers</t>
  </si>
  <si>
    <t>Animal health cost per stock</t>
  </si>
  <si>
    <t>Proportion of prime R2 heifers to all R2 heifers sold</t>
  </si>
  <si>
    <t>Proportion of R2 steers sold per year</t>
  </si>
  <si>
    <t>Proportion of calf heifers sold per year</t>
  </si>
  <si>
    <t>Proportion of calf steers sold per year</t>
  </si>
  <si>
    <t>Proportion of calf bulls sold per year</t>
  </si>
  <si>
    <t>% reduction in price of infected animals</t>
  </si>
  <si>
    <t>Proportion of prime cows to all cows sold</t>
  </si>
  <si>
    <t>Proportion of prime R2 steers to all R2 steers sold</t>
  </si>
  <si>
    <t>% of animals not reaching target weight</t>
  </si>
  <si>
    <t>Milk</t>
  </si>
  <si>
    <t>Total</t>
  </si>
  <si>
    <t>Veterinary intervention</t>
  </si>
  <si>
    <t>Farm type</t>
  </si>
  <si>
    <t>Disease type</t>
  </si>
  <si>
    <t>NZ$ per animal per year</t>
  </si>
  <si>
    <t>Otago-Southland</t>
  </si>
  <si>
    <t>Low input (1&amp;2)</t>
  </si>
  <si>
    <t>Medium input (3)</t>
  </si>
  <si>
    <t>High input (4&amp;5)</t>
  </si>
  <si>
    <t>Hill country (North NI)</t>
  </si>
  <si>
    <t>Hill country (East NI)</t>
  </si>
  <si>
    <t>Hill country (West NI)</t>
  </si>
  <si>
    <t>Hill country (Northland)</t>
  </si>
  <si>
    <t>Finishing (North NI)</t>
  </si>
  <si>
    <t>Finishing (East NI)</t>
  </si>
  <si>
    <t>Finishing (West NI)</t>
  </si>
  <si>
    <t>Hard hill (North NI)</t>
  </si>
  <si>
    <t>Hard hill (East NI)</t>
  </si>
  <si>
    <t>Hard hill (West NI)</t>
  </si>
  <si>
    <t>Finish breeding (Central SI)</t>
  </si>
  <si>
    <t>Finish breeding (South SI)</t>
  </si>
  <si>
    <t>Finishing (South SI)</t>
  </si>
  <si>
    <t>Hill country (South SI)</t>
  </si>
  <si>
    <t>Hill country (Central SI)</t>
  </si>
  <si>
    <t>Mixed finishing (Central SI)</t>
  </si>
  <si>
    <t>High country (Central SI)</t>
  </si>
  <si>
    <t>BVD (Canada)</t>
  </si>
  <si>
    <t>EBL (Canada)</t>
  </si>
  <si>
    <t>Johne's disease (Canada)</t>
  </si>
  <si>
    <t>Neosporosis (Canada)</t>
  </si>
  <si>
    <t>Akabane virus (Sudan)</t>
  </si>
  <si>
    <t>Dairy disease</t>
  </si>
  <si>
    <t>Beef disease</t>
  </si>
  <si>
    <t>Sheep disease</t>
  </si>
  <si>
    <t>Assumptions of disease impacts</t>
  </si>
  <si>
    <t>Feed cost</t>
  </si>
  <si>
    <t>Calf</t>
  </si>
  <si>
    <t>NZ$ per calf</t>
  </si>
  <si>
    <t>Calf feed cost</t>
  </si>
  <si>
    <t>Closing number</t>
  </si>
  <si>
    <t>Market value of R1 heifers</t>
  </si>
  <si>
    <t>Market value of R2 heifers</t>
  </si>
  <si>
    <t>Maket value breeding cows</t>
  </si>
  <si>
    <t>% animals requiring treatment</t>
  </si>
  <si>
    <t>Additional treatment costs (NZ$/animal)</t>
  </si>
  <si>
    <t>NZ$ per animal</t>
  </si>
  <si>
    <t>Additional treatment cost</t>
  </si>
  <si>
    <t>Veterinary expense</t>
  </si>
  <si>
    <t>SBV high (UK/France, sheep)</t>
  </si>
  <si>
    <t>SBV low (UK/France, sheep)</t>
  </si>
  <si>
    <t>SBV high (UK/France, cattle)</t>
  </si>
  <si>
    <t>SBV low (UK/France, cattle)</t>
  </si>
  <si>
    <t>Opportunity costs (total)</t>
  </si>
  <si>
    <t>Opportunity costs for MA cows</t>
  </si>
  <si>
    <t>Opportunity costs for breeding cows</t>
  </si>
  <si>
    <t>Opportunity costs for R1 heifers</t>
  </si>
  <si>
    <t>Opportunity costs for R2 heifers</t>
  </si>
  <si>
    <t>Opportunity costs for R2 steers</t>
  </si>
  <si>
    <t>Opportunity costs for calf heifers</t>
  </si>
  <si>
    <t>Opportunity costs for calf steers</t>
  </si>
  <si>
    <t>Opportunity costs for calf bulls</t>
  </si>
  <si>
    <t>Opportunity costs for ewes</t>
  </si>
  <si>
    <t>Opportunity costs for hoggets</t>
  </si>
  <si>
    <t>Opportunity costs for lambs</t>
  </si>
  <si>
    <t>Parameter</t>
  </si>
  <si>
    <t>Section</t>
  </si>
  <si>
    <t>ID</t>
  </si>
  <si>
    <t>% Infected animals requiring treatment</t>
  </si>
  <si>
    <t>% Infected animals not reaching target weight</t>
  </si>
  <si>
    <t>% Infected animals culled prematurely</t>
  </si>
  <si>
    <t>% Reduction in price of infected animals</t>
  </si>
  <si>
    <t>% Reduction in milk yield</t>
  </si>
  <si>
    <t>% Infertility rate due to disease</t>
  </si>
  <si>
    <t>% Abortion rate due to disease</t>
  </si>
  <si>
    <t>Number of heifers born</t>
  </si>
  <si>
    <t>Number of steers born</t>
  </si>
  <si>
    <t>Number of initial calves total</t>
  </si>
  <si>
    <t>Farm profit (with disease)</t>
  </si>
  <si>
    <t>Farm profit (without disease)</t>
  </si>
  <si>
    <t>% total loss relative to farm profit</t>
  </si>
  <si>
    <t>% farm profit</t>
  </si>
  <si>
    <t>Income forgone</t>
  </si>
  <si>
    <t>Additional income</t>
  </si>
  <si>
    <t>Additional expense</t>
  </si>
  <si>
    <t>Expense saved</t>
  </si>
  <si>
    <t>Enterprise</t>
  </si>
  <si>
    <t>Description</t>
  </si>
  <si>
    <t>Farms that rely 100% on grass (categorised as System 1 in the industry database DairyBase; 5% of all farms) or farms that import &lt;10% of total feed for dry cows during winter (System 2; 23%). This farm type accounts for 28% of all dairy farms.</t>
  </si>
  <si>
    <t>Farms in Far North, Whangarei, Kaipara, Rodney, North Shore City, Waitakere City and Auckland City</t>
  </si>
  <si>
    <t>Farms in Manukau City, Papakura, Franklin, Waikato, Hamilton City, Waipa, Otorohanga, Waitomo, Thames/Coromandel, Hauraki, Matamata/Piako, South Waikato, Taupo and Ruapehu</t>
  </si>
  <si>
    <t>Farms in Western Bay of Plenty, Tauranga, Rotorua, Kawerau, Whakatane, Opotiki, Gisborne and Wairoa</t>
  </si>
  <si>
    <t>Farms in New Plymouth, Stratford and South Taranaki</t>
  </si>
  <si>
    <t>Farms in Tasman, Buller, Grey and Westland</t>
  </si>
  <si>
    <t>Farms in Nelson City, Marlborough, Kaikoura, Hurunui, Waimakariri, Christchurch City, Banks Peninsula, Selwyn, Ashburton, Timaru, Mackenzie and Waimate</t>
  </si>
  <si>
    <t>Farms in Waitaki, Dunedin City, Clutha, Central Otago, Queenstown/Lakes, Gore, Invercargill and Southland</t>
  </si>
  <si>
    <t>Beef/sheep</t>
  </si>
  <si>
    <t>Weighted national average of all dairy farms</t>
  </si>
  <si>
    <t>Mainly on the Canterbury plains with a high proportion of the revenue being derived from grain and small seed production as well as stock finishing. This farm type accounts for 5% of all beef and sheep farms, of which this group is for Central South Island (Marlborough and Canterbury).</t>
  </si>
  <si>
    <t>Easier hill country or higher fertility soils than hard hill country in North Island. Carrying between eight and thirteen stock units per hectare, a high proportion of sale stock sold is in forward store or prime condition. This farm type accounts for 33% of all beef and sheep farms, of which this group is for Northern North Island (Northland, Waikato and Bay of Plenty).</t>
  </si>
  <si>
    <t>Easier hill country or higher fertility soils than hard hill country in North Island. Carrying between eight and thirteen stock units per hectare, a high proportion of sale stock sold is in forward store or prime condition. This farm type accounts for 33% of all beef and sheep farms, of which this group is for Western North Island (Taranaki, Rangitikei and Manawatu).</t>
  </si>
  <si>
    <t>Easy contour farmland in North Island with the potential for high production. Carrying between ten and fourteen stock units per hectare, a high proportion of stock is sent to slaughter and replacements are often bought in. These tend to be smaller farms focused on high production per hectare and may have some cash cropping. This farm type accounts for 11% of all beef and sheep farms, of which this group is for Northern North Island (Northland, Waikato and Bay of Plenty).</t>
  </si>
  <si>
    <t>Easy contour farmland in North Island with the potential for high production. Carrying between ten and fourteen stock units per hectare, a high proportion of stock is sent to slaughter and replacements are often bought in. These tend to be smaller farms focused on high production per hectare and may have some cash cropping. This farm type accounts for 11% of all beef and sheep farms, of which this group is for Western North Island (Taranaki, Rangitikei and Manawatu).</t>
  </si>
  <si>
    <t>Steep hill country or low fertility soils in North Island with most farms carrying six to nine stock units per hectare. While some stock are finished a significant proportion are sold in store condition. Mainly breeding properties. This farm type accounts for 10% of all beef and sheep farms, of which this group is for Northern North Island (Northland, Waikato and Bay of Plenty).</t>
  </si>
  <si>
    <t>Steep hill country or low fertility soils in North Island with most farms carrying six to nine stock units per hectare. While some stock are finished a significant proportion are sold in store condition. Mainly breeding properties. This farm type accounts for 10% of all beef and sheep farms, of which this group is for Western North Island (Taranaki, Rangitikei and Manawatu).</t>
  </si>
  <si>
    <t>A more extensive type of finishing farm in South Island, also encompassing some irrigation units and some cash cropping. Carrying capacity ranges from six to eleven stock units per hectare on dryland farms and over twelve stock units per hectare on irrigated units. Located mainly in Canterbury and Otago, this is the dominant farm class in the South Island. This farm type accounts for 20% of all beef and sheep farms, of which this group is for Central South Island (Marlborough and Canterbury).</t>
  </si>
  <si>
    <t>A more extensive type of finishing farm in South Island, also encompassing some irrigation units and some cash cropping. Carrying capacity ranges from six to eleven stock units per hectare on dryland farms and over twelve stock units per hectare on irrigated units. Located mainly in Canterbury and Otago, this is the dominant farm class in the South Island. This farm type accounts for 20% of all beef and sheep farms, of which this group is for Southern South Island (Otago and Southland).</t>
  </si>
  <si>
    <t>High producing grassland farms in South Island carrying about ten to fourteen stock units per hectare with some cash crop. Located mainly in Southland, South and West Otago. This farm type accounts for 11% of all beef and sheep farms, of which this group is for Southern South Island (Otago and Southland).</t>
  </si>
  <si>
    <t>Traditionally store stock producers in South Island with a proportion sold prime in good seasons. Carrying between two and seven stock units per hectare, they usually have a significant proportion of beef cattle. This farm type accounts for 7% of all beef and sheep farms, of which this group is for Central South Island (Marlborough and Canterbury).</t>
  </si>
  <si>
    <t>Traditionally store stock producers in South Island with a proportion sold prime in good seasons. Carrying between two and seven stock units per hectare, they usually have a significant proportion of beef cattle. This farm type accounts for 7% of all beef and sheep farms, of which this group is for Southern South Island (Otago and Southland).</t>
  </si>
  <si>
    <t>Extensive run country located at high altitude in South Island usually carrying fine wool sheep, with wool as the main source of revenue. Often carry breeding cows and deer. Located mainly in Marlborough, Canterbury and Otago. This farm type accounts for 2% of all beef and sheep farms, of which this group is for Central South Island (Marlborough and Canterbury).</t>
  </si>
  <si>
    <t>Farms that import 10-20% of total feed for lactating cows during autumn and for dry cows during winter (System 3). This farm type accounts for 46% of all dairy farms.</t>
  </si>
  <si>
    <t>Farms that import 20-30% of total feed for lactating cows at the beginning and the end of lactation, and for dry cows (System 4; 23%) or those that import 30 – 50% of total feed for all year throughout lactation and for dry cows (System 5; 3%). This farm type accounts for 26% of all dairy farms.</t>
  </si>
  <si>
    <t>Farms in Wanganui, Rangitikei, Hastings, Napier City, Central Hawkes Bay, Tararua, Manawatu, Palmerston North City, Horowhenua, Kapiti Coast, Porirua City, Upper Hutt City, Lower Hutt City, Wellington City, Masterton, Carterton and South Wairarapa</t>
  </si>
  <si>
    <t>Easier hill country or higher fertility soils than hard hill country in North Island. Carrying between eight and thirteen stock units per hectare, a high proportion of sale stock sold is in forward store or prime condition. This farm type accounts for 33% of all beef and sheep farms, of which this group is for Eastern North Island (Gisborne, Hawkes Bay and Wairarapa).</t>
  </si>
  <si>
    <t>Easy contour farmland in North Island with the potential for high production. Carrying between ten and fourteen stock units per hectare, a high proportion of stock is sent to slaughter and replacements are often bought in. These tend to be smaller farms focused on high production per hectare and may have some cash cropping. This farm type accounts for 11% of all beef and sheep farms, of which this group is for Eastern North Island (Gisborne, Hawkes Bay and Wairarapa).</t>
  </si>
  <si>
    <t>Steep hill country or low fertility soils in North Island with most farms carrying six to nine stock units per hectare. While some stock are finished a significant proportion are sold in store condition. Mainly breeding properties. This farm type accounts for 10% of all beef and sheep farms, of which this group is for Eastern North Island (Gisborne, Hawkes Bay and Wairarapa).</t>
  </si>
  <si>
    <t>Effective hectares</t>
  </si>
  <si>
    <t>ha</t>
  </si>
  <si>
    <t>Effective Area</t>
  </si>
  <si>
    <t>Sheep:Cattle SU Ratio</t>
  </si>
  <si>
    <t>Easier hill country or higher fertility soils than hard hill country in North Island. Carrying between eight and thirteen stock units per hectare, a high proportion of sale stock sold is in forward store or prime condition. This farm type accounts for 33% of all beef and sheep farms, of which this group is for Northland.</t>
  </si>
  <si>
    <t>BVD (NZ, dairy)</t>
  </si>
  <si>
    <t>BVD (NZ, beef)</t>
  </si>
  <si>
    <t>Livestock sell/cull</t>
  </si>
  <si>
    <t>Feed &amp; Grazing</t>
  </si>
  <si>
    <t>All</t>
  </si>
  <si>
    <t>Infertility rate</t>
  </si>
  <si>
    <t>Mortality rate in R2 heifers</t>
  </si>
  <si>
    <t>Mortality rate in calves / R1 heifers</t>
  </si>
  <si>
    <t>Cull price of R2 heifers</t>
  </si>
  <si>
    <t>Labour costs per R2 heifer</t>
  </si>
  <si>
    <t>Labour costs per calf / R1 heifer</t>
  </si>
  <si>
    <t>Feed costs per calf</t>
  </si>
  <si>
    <t>kg MS per head per year</t>
  </si>
  <si>
    <t>NZ$ per head</t>
  </si>
  <si>
    <t>NZ$ per head per year</t>
  </si>
  <si>
    <t>Initial number of replacement heifers (R2)</t>
  </si>
  <si>
    <t>Calves / R1 heifers</t>
  </si>
  <si>
    <t>Proportion of bobby calves</t>
  </si>
  <si>
    <t>Edwards, 2021</t>
  </si>
  <si>
    <t>Proportion of MA cows culled for other reasons</t>
  </si>
  <si>
    <t>Income from selling MA cows</t>
  </si>
  <si>
    <t>Income from selling calves</t>
  </si>
  <si>
    <t>Income from selling R2 heifers</t>
  </si>
  <si>
    <t>Table 3.2 mortality of MA cows in 4 regions (Waikato Taranaki South Canterbury North Otago)</t>
  </si>
  <si>
    <t>Table 3.2 mortality of &lt;2yo replacements in 4 regions (Waikato Taranaki South Canterbury North Otago)</t>
  </si>
  <si>
    <t>Herd size</t>
  </si>
  <si>
    <t>Proportion of MA cows culled (total)</t>
  </si>
  <si>
    <t>Proportion of dairy heifer calves</t>
  </si>
  <si>
    <t>Proportion of replacement dairy heifer calves</t>
  </si>
  <si>
    <t>Abortion/sillbirth rate</t>
  </si>
  <si>
    <t>Milk solid (MS) production</t>
  </si>
  <si>
    <t>Labour costs per MA cow</t>
  </si>
  <si>
    <t>Animal health costs per MA cow</t>
  </si>
  <si>
    <t>Breeding cost per MA cow</t>
  </si>
  <si>
    <t>Feed costs per MA cow</t>
  </si>
  <si>
    <t>Grazing expenses per R1 / R2 heifer</t>
  </si>
  <si>
    <t>*</t>
  </si>
  <si>
    <t>Proportion of MA cows culled due to reproduction failure</t>
  </si>
  <si>
    <t>Beef x dairy cross calves</t>
  </si>
  <si>
    <t>Proportion of R2 heifers culled</t>
  </si>
  <si>
    <t>Number of replacement heifer calves retained</t>
  </si>
  <si>
    <t>MA cows mated</t>
  </si>
  <si>
    <t>Proportion of beef x dairy cross calves</t>
  </si>
  <si>
    <t>Number of 2 yo heifers that entered the MA herd</t>
  </si>
  <si>
    <t>Number of R1 replacement heifers at the end of the season</t>
  </si>
  <si>
    <t>Number of R2 heifers at the end of the season</t>
  </si>
  <si>
    <t>Net dairy cash income</t>
  </si>
  <si>
    <t>Farm working expenses</t>
  </si>
  <si>
    <t>Dairy operating profit</t>
  </si>
  <si>
    <t>Feed + grazing costs</t>
  </si>
  <si>
    <t>Net adjustments</t>
  </si>
  <si>
    <t>Net adjustment</t>
  </si>
  <si>
    <t>Other expenses</t>
  </si>
  <si>
    <t>2019-20 sales cows prime/boner</t>
  </si>
  <si>
    <t>National average market values, 2020</t>
  </si>
  <si>
    <t>Beef cattle rising one-year heifers/steers &amp; bulls average</t>
  </si>
  <si>
    <t>Dairy cattle MA cows</t>
  </si>
  <si>
    <t>Market value of beef x dairy cross R1 heifers/steers/bulls</t>
  </si>
  <si>
    <t>Dairy cattle R2 heifers</t>
  </si>
  <si>
    <t>2019-20 sales heifers 1-1.5yr Store</t>
  </si>
  <si>
    <t>Dairy cattle R1 heifers</t>
  </si>
  <si>
    <t>%Error</t>
  </si>
  <si>
    <t>Mid-average adjustment factor</t>
  </si>
  <si>
    <t>kg MS per cow per year</t>
  </si>
  <si>
    <t xml:space="preserve">DairyNZ budget case studies mode </t>
  </si>
  <si>
    <t>DairyNZ</t>
  </si>
  <si>
    <t>Livestock purchase + opporunity costs</t>
  </si>
  <si>
    <t>Opportunity costs of livestock (total)</t>
  </si>
  <si>
    <t>Number sold/culled</t>
  </si>
  <si>
    <t>Number purchased for next season</t>
  </si>
  <si>
    <t>Death</t>
  </si>
  <si>
    <t>2-year old heifers</t>
  </si>
  <si>
    <t>Net income from livestock sales - purchase</t>
  </si>
  <si>
    <t>Denominator adjustment factor</t>
  </si>
  <si>
    <t>NA</t>
  </si>
  <si>
    <t>25% of cow workload</t>
  </si>
  <si>
    <t>Original name</t>
  </si>
  <si>
    <t>Starting number of MA cows</t>
  </si>
  <si>
    <t>Calves born</t>
  </si>
  <si>
    <t>Calf mortality</t>
  </si>
  <si>
    <t>Cattle mortality</t>
  </si>
  <si>
    <t>Sales R2 Steer Store</t>
  </si>
  <si>
    <t>Value R2 Steer Store</t>
  </si>
  <si>
    <t>Value Calf/Wnr Bull Store</t>
  </si>
  <si>
    <t>Value Calf/Wnr Hfr Store</t>
  </si>
  <si>
    <t>Value Calf/Wnr Str Store</t>
  </si>
  <si>
    <t>Sales R2 Heifer Store</t>
  </si>
  <si>
    <t>Value R2 Heifer Store</t>
  </si>
  <si>
    <t>Sales R2+ Bulls Store</t>
  </si>
  <si>
    <t>Value R2+ Bulls Store</t>
  </si>
  <si>
    <t>Sales R2 Strs Prime</t>
  </si>
  <si>
    <t>Value R2 Strs Prime</t>
  </si>
  <si>
    <t>Sales R2 Hfrs Prime</t>
  </si>
  <si>
    <t>Value R2 Hfrs Prime</t>
  </si>
  <si>
    <t>Sales R3+ Hfrs Prime</t>
  </si>
  <si>
    <t>Value R3+ Hfrs Prime</t>
  </si>
  <si>
    <t>Sales R3+ Strs Prime</t>
  </si>
  <si>
    <t>Value R3+ Strs Prime</t>
  </si>
  <si>
    <t>Value Prime Cows</t>
  </si>
  <si>
    <t>Value Prime Bulls</t>
  </si>
  <si>
    <t>R3 heifers</t>
  </si>
  <si>
    <t>R3 steers</t>
  </si>
  <si>
    <t>R2 bulls</t>
  </si>
  <si>
    <t>Initial number of R3 heifers</t>
  </si>
  <si>
    <t>Initial number of R3 steers</t>
  </si>
  <si>
    <t>Initial number of R2 bulls</t>
  </si>
  <si>
    <t>Initial number of MA bulls</t>
  </si>
  <si>
    <t>MA bulls</t>
  </si>
  <si>
    <t>Proportion of R3 heifers sold per year</t>
  </si>
  <si>
    <t>Proportion of R3 steers sold per year</t>
  </si>
  <si>
    <t>Proportion of R2 bulls sold per year</t>
  </si>
  <si>
    <t>Proportion of MA bulls sold per year</t>
  </si>
  <si>
    <t>Proportion of prime R3 heifers to all R3 heifers sold</t>
  </si>
  <si>
    <t>Proportion of prime R3 steers to all R3 steers sold</t>
  </si>
  <si>
    <t>Proportion of prime R2 bulls to all R2 bulls sold</t>
  </si>
  <si>
    <t>Proportion of prime MA bulls to all MA bulls sold</t>
  </si>
  <si>
    <t>Store R3 heifers</t>
  </si>
  <si>
    <t>Store R3 steers</t>
  </si>
  <si>
    <t>Store R2 bulls</t>
  </si>
  <si>
    <t>Prime R3 heifers</t>
  </si>
  <si>
    <t>Prime R3 steers</t>
  </si>
  <si>
    <t>Prime R2 bulls</t>
  </si>
  <si>
    <t>Number purchased at the season start</t>
  </si>
  <si>
    <t>Market value of beef x dairy cross calves (weaner)</t>
  </si>
  <si>
    <t>Beef x dairy calves</t>
  </si>
  <si>
    <t>Store MA bulls</t>
  </si>
  <si>
    <t>Cattle revenue (net stock sales)</t>
  </si>
  <si>
    <t>Livestock purchase + opportunity costs</t>
  </si>
  <si>
    <t>Livetock purchase</t>
  </si>
  <si>
    <t>Total income from stock sales</t>
  </si>
  <si>
    <t>Cattle revenue</t>
  </si>
  <si>
    <t>c/SSU</t>
  </si>
  <si>
    <t>Hogget lambing rate</t>
  </si>
  <si>
    <t>Livestock purchase + opportunity cost</t>
  </si>
  <si>
    <t>Net income from livestock sales</t>
  </si>
  <si>
    <t>Sheep revenue</t>
  </si>
  <si>
    <t>Income from culling MA cows</t>
  </si>
  <si>
    <t>Income from culling/selling R2</t>
  </si>
  <si>
    <t>Income from culling MA bulls</t>
  </si>
  <si>
    <t>Opportunity costs for R3 steers</t>
  </si>
  <si>
    <t>Opportunity costs for R2 bulls</t>
  </si>
  <si>
    <t>Number purchased at the beginning</t>
  </si>
  <si>
    <t>Ewe lambs</t>
  </si>
  <si>
    <t>Sales prime lambs</t>
  </si>
  <si>
    <t>Sales store lambs</t>
  </si>
  <si>
    <t>Replacement lambs</t>
  </si>
  <si>
    <t>Meat lambs</t>
  </si>
  <si>
    <t>Ewe hoggets</t>
  </si>
  <si>
    <t>Replacement hogget requirement (season start)</t>
  </si>
  <si>
    <t>Replacement ewe lambs requirement</t>
  </si>
  <si>
    <t>Number of ewe/ram lambs born</t>
  </si>
  <si>
    <t>Number of surplus (+)/shortage (-) meat lambs</t>
  </si>
  <si>
    <t>Ewe hoggets lambed</t>
  </si>
  <si>
    <t>Number of surplus (+)/shortage (-) hoggets</t>
  </si>
  <si>
    <t>Number of initial hoggets</t>
  </si>
  <si>
    <t>Sell/cull parameters</t>
  </si>
  <si>
    <t>Number of initial lambs after purchase</t>
  </si>
  <si>
    <t>Proportion of bred female lambs</t>
  </si>
  <si>
    <t>Ewe lambing rate</t>
  </si>
  <si>
    <t>Replacement lamb</t>
  </si>
  <si>
    <t>Meat lamb</t>
  </si>
  <si>
    <t>)</t>
  </si>
  <si>
    <t>Income from culling R3</t>
  </si>
  <si>
    <t>Opportunity costs for R3 heifers</t>
  </si>
  <si>
    <t>Opportunity costs for MA bulls</t>
  </si>
  <si>
    <t>Number of inbred ewe lambs reared for replacement</t>
  </si>
  <si>
    <t>Number of meat lambs at the season start</t>
  </si>
  <si>
    <t>Other revenue</t>
  </si>
  <si>
    <t>Total cattle expenses</t>
  </si>
  <si>
    <t>Mid-year average adjustment factor</t>
  </si>
  <si>
    <t>Cattle expenses</t>
  </si>
  <si>
    <t>Sheep expenses</t>
  </si>
  <si>
    <t>Sheep+Wool Revenue</t>
  </si>
  <si>
    <t>Total sheep expenses</t>
  </si>
  <si>
    <t>Cattle profit (cattle revenue - cattle expenses)</t>
  </si>
  <si>
    <t>Sheep profit (sheep + wool revenue - sheep expenses)</t>
  </si>
  <si>
    <t>Total loss per MA cow/ewe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</si>
</sst>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 numFmtId="167" formatCode="0.0000"/>
    <numFmt numFmtId="168" formatCode="##,##0.0"/>
    <numFmt numFmtId="169" formatCode="0.000"/>
  </numFmts>
  <fonts count="16"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sz val="11"/>
      <color theme="0" tint="-0.499984740745262"/>
      <name val="Calibri"/>
      <family val="2"/>
      <scheme val="minor"/>
    </font>
    <font>
      <b/>
      <sz val="11"/>
      <name val="Calibri"/>
      <family val="2"/>
      <scheme val="minor"/>
    </font>
    <font>
      <sz val="11"/>
      <color rgb="FFFF0000"/>
      <name val="Calibri"/>
      <family val="2"/>
      <scheme val="minor"/>
    </font>
    <font>
      <sz val="10"/>
      <name val="Arial"/>
      <family val="2"/>
    </font>
    <font>
      <sz val="8"/>
      <name val="Calibri"/>
      <family val="2"/>
      <scheme val="minor"/>
    </font>
    <font>
      <b/>
      <sz val="11"/>
      <color theme="0"/>
      <name val="Calibri"/>
      <family val="2"/>
      <scheme val="minor"/>
    </font>
    <font>
      <b/>
      <sz val="16"/>
      <color theme="0"/>
      <name val="Candara"/>
      <family val="2"/>
    </font>
    <font>
      <b/>
      <sz val="11"/>
      <color theme="0"/>
      <name val="Candara"/>
      <family val="2"/>
    </font>
    <font>
      <b/>
      <sz val="8"/>
      <color theme="0"/>
      <name val="Candara"/>
      <family val="2"/>
    </font>
    <font>
      <i/>
      <sz val="11"/>
      <color theme="1"/>
      <name val="Calibri"/>
      <family val="2"/>
      <scheme val="minor"/>
    </font>
    <font>
      <i/>
      <sz val="11"/>
      <color theme="0" tint="-0.499984740745262"/>
      <name val="Calibri"/>
      <family val="2"/>
      <scheme val="minor"/>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6" tint="0.79998168889431442"/>
        <bgColor indexed="64"/>
      </patternFill>
    </fill>
    <fill>
      <patternFill patternType="solid">
        <fgColor theme="2" tint="-9.9978637043366805E-2"/>
        <bgColor indexed="64"/>
      </patternFill>
    </fill>
  </fills>
  <borders count="5">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thin">
        <color theme="4" tint="-0.499984740745262"/>
      </right>
      <top style="thin">
        <color theme="4" tint="-0.499984740745262"/>
      </top>
      <bottom style="thin">
        <color indexed="64"/>
      </bottom>
      <diagonal/>
    </border>
  </borders>
  <cellStyleXfs count="6">
    <xf numFmtId="0" fontId="0" fillId="0" borderId="0"/>
    <xf numFmtId="4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8" fillId="0" borderId="0"/>
    <xf numFmtId="0" fontId="8" fillId="0" borderId="0" applyFill="0" applyBorder="0" applyProtection="0"/>
  </cellStyleXfs>
  <cellXfs count="133">
    <xf numFmtId="0" fontId="0" fillId="0" borderId="0" xfId="0"/>
    <xf numFmtId="0" fontId="0" fillId="2" borderId="0" xfId="0" applyFill="1"/>
    <xf numFmtId="0" fontId="2" fillId="2" borderId="0" xfId="0" applyFont="1" applyFill="1"/>
    <xf numFmtId="165" fontId="0" fillId="2" borderId="0" xfId="1" applyNumberFormat="1" applyFont="1" applyFill="1"/>
    <xf numFmtId="164" fontId="0" fillId="2" borderId="0" xfId="2" applyNumberFormat="1" applyFont="1" applyFill="1"/>
    <xf numFmtId="1" fontId="0" fillId="2" borderId="0" xfId="3" applyNumberFormat="1" applyFont="1" applyFill="1"/>
    <xf numFmtId="166" fontId="0" fillId="2" borderId="0" xfId="3" applyNumberFormat="1" applyFont="1" applyFill="1"/>
    <xf numFmtId="1" fontId="2" fillId="2" borderId="0" xfId="0" applyNumberFormat="1" applyFont="1" applyFill="1"/>
    <xf numFmtId="166" fontId="2" fillId="2" borderId="0" xfId="0" applyNumberFormat="1" applyFont="1" applyFill="1"/>
    <xf numFmtId="166" fontId="0" fillId="2" borderId="0" xfId="0" applyNumberFormat="1" applyFill="1"/>
    <xf numFmtId="165" fontId="2" fillId="2" borderId="0" xfId="1" applyNumberFormat="1" applyFont="1" applyFill="1"/>
    <xf numFmtId="0" fontId="3" fillId="2" borderId="0" xfId="0" applyFont="1" applyFill="1"/>
    <xf numFmtId="165" fontId="0" fillId="3" borderId="1" xfId="1" applyNumberFormat="1" applyFont="1" applyFill="1" applyBorder="1"/>
    <xf numFmtId="164" fontId="0" fillId="3" borderId="1" xfId="2" applyNumberFormat="1" applyFont="1" applyFill="1" applyBorder="1"/>
    <xf numFmtId="1" fontId="0" fillId="3" borderId="1" xfId="0" applyNumberFormat="1" applyFill="1" applyBorder="1"/>
    <xf numFmtId="0" fontId="3" fillId="2" borderId="0" xfId="0" applyFont="1" applyFill="1" applyAlignment="1">
      <alignment horizontal="right"/>
    </xf>
    <xf numFmtId="0" fontId="5" fillId="2" borderId="0" xfId="0" applyFont="1" applyFill="1"/>
    <xf numFmtId="1" fontId="5" fillId="2" borderId="0" xfId="0" applyNumberFormat="1" applyFont="1" applyFill="1"/>
    <xf numFmtId="164" fontId="5" fillId="2" borderId="0" xfId="2" applyNumberFormat="1" applyFont="1" applyFill="1"/>
    <xf numFmtId="166" fontId="1" fillId="3" borderId="1" xfId="3" applyNumberFormat="1" applyFont="1" applyFill="1" applyBorder="1"/>
    <xf numFmtId="1" fontId="1" fillId="3" borderId="1" xfId="3" applyNumberFormat="1" applyFont="1" applyFill="1" applyBorder="1"/>
    <xf numFmtId="0" fontId="4" fillId="5" borderId="0" xfId="0" applyFont="1" applyFill="1"/>
    <xf numFmtId="0" fontId="1" fillId="3" borderId="1" xfId="3" applyNumberFormat="1" applyFont="1" applyFill="1" applyBorder="1"/>
    <xf numFmtId="164" fontId="3" fillId="2" borderId="0" xfId="2" applyNumberFormat="1" applyFont="1" applyFill="1" applyBorder="1"/>
    <xf numFmtId="0" fontId="4" fillId="2" borderId="0" xfId="0" applyFont="1" applyFill="1"/>
    <xf numFmtId="44" fontId="1" fillId="3" borderId="1" xfId="1" applyFont="1" applyFill="1" applyBorder="1"/>
    <xf numFmtId="165" fontId="1" fillId="3" borderId="1" xfId="1" applyNumberFormat="1" applyFont="1" applyFill="1" applyBorder="1"/>
    <xf numFmtId="165" fontId="3" fillId="3" borderId="1" xfId="1" applyNumberFormat="1" applyFont="1" applyFill="1" applyBorder="1"/>
    <xf numFmtId="165" fontId="3" fillId="2" borderId="0" xfId="0" applyNumberFormat="1" applyFont="1" applyFill="1"/>
    <xf numFmtId="0" fontId="7" fillId="2" borderId="0" xfId="0" applyFont="1" applyFill="1"/>
    <xf numFmtId="1" fontId="0" fillId="3" borderId="2" xfId="3" applyNumberFormat="1" applyFont="1" applyFill="1" applyBorder="1"/>
    <xf numFmtId="1" fontId="0" fillId="3" borderId="3" xfId="0" applyNumberFormat="1" applyFill="1" applyBorder="1"/>
    <xf numFmtId="1" fontId="0" fillId="3" borderId="2" xfId="0" applyNumberFormat="1" applyFill="1" applyBorder="1"/>
    <xf numFmtId="167" fontId="5" fillId="2" borderId="0" xfId="0" applyNumberFormat="1" applyFont="1" applyFill="1"/>
    <xf numFmtId="0" fontId="6" fillId="2" borderId="0" xfId="0" applyFont="1" applyFill="1"/>
    <xf numFmtId="165" fontId="6" fillId="3" borderId="1" xfId="0" applyNumberFormat="1" applyFont="1" applyFill="1" applyBorder="1"/>
    <xf numFmtId="165" fontId="6" fillId="3" borderId="1" xfId="1" applyNumberFormat="1" applyFont="1" applyFill="1" applyBorder="1"/>
    <xf numFmtId="165" fontId="6" fillId="3" borderId="2" xfId="1" applyNumberFormat="1" applyFont="1" applyFill="1" applyBorder="1"/>
    <xf numFmtId="9" fontId="3" fillId="3" borderId="2" xfId="3" applyFont="1" applyFill="1" applyBorder="1"/>
    <xf numFmtId="0" fontId="4" fillId="5" borderId="0" xfId="0" applyFont="1" applyFill="1" applyAlignment="1">
      <alignment horizontal="right"/>
    </xf>
    <xf numFmtId="166" fontId="1" fillId="2" borderId="0" xfId="3" applyNumberFormat="1" applyFont="1" applyFill="1" applyBorder="1"/>
    <xf numFmtId="165" fontId="0" fillId="6" borderId="1" xfId="1" applyNumberFormat="1" applyFont="1" applyFill="1" applyBorder="1"/>
    <xf numFmtId="1" fontId="0" fillId="6" borderId="1" xfId="0" applyNumberFormat="1" applyFill="1" applyBorder="1"/>
    <xf numFmtId="164" fontId="0" fillId="6" borderId="1" xfId="2" applyNumberFormat="1" applyFont="1" applyFill="1" applyBorder="1"/>
    <xf numFmtId="1" fontId="1" fillId="6" borderId="1" xfId="3" applyNumberFormat="1" applyFont="1" applyFill="1" applyBorder="1"/>
    <xf numFmtId="1" fontId="7" fillId="6" borderId="1" xfId="0" applyNumberFormat="1" applyFont="1" applyFill="1" applyBorder="1"/>
    <xf numFmtId="0" fontId="0" fillId="6" borderId="1" xfId="0" applyFill="1" applyBorder="1"/>
    <xf numFmtId="166" fontId="1" fillId="6" borderId="1" xfId="3" applyNumberFormat="1" applyFont="1" applyFill="1" applyBorder="1"/>
    <xf numFmtId="1" fontId="0" fillId="6" borderId="2" xfId="3" applyNumberFormat="1" applyFont="1" applyFill="1" applyBorder="1"/>
    <xf numFmtId="166" fontId="7" fillId="6" borderId="1" xfId="3" applyNumberFormat="1" applyFont="1" applyFill="1" applyBorder="1"/>
    <xf numFmtId="166" fontId="7" fillId="6" borderId="1" xfId="0" applyNumberFormat="1" applyFont="1" applyFill="1" applyBorder="1"/>
    <xf numFmtId="166" fontId="3" fillId="6" borderId="1" xfId="3" applyNumberFormat="1" applyFont="1" applyFill="1" applyBorder="1"/>
    <xf numFmtId="44" fontId="1" fillId="6" borderId="1" xfId="1" applyFont="1" applyFill="1" applyBorder="1"/>
    <xf numFmtId="165" fontId="1" fillId="6" borderId="1" xfId="1" applyNumberFormat="1" applyFont="1" applyFill="1" applyBorder="1"/>
    <xf numFmtId="165" fontId="7" fillId="6" borderId="1" xfId="1" applyNumberFormat="1" applyFont="1" applyFill="1" applyBorder="1"/>
    <xf numFmtId="0" fontId="2" fillId="7" borderId="0" xfId="0" applyFont="1" applyFill="1"/>
    <xf numFmtId="0" fontId="0" fillId="7" borderId="0" xfId="0" applyFill="1"/>
    <xf numFmtId="0" fontId="5" fillId="7" borderId="0" xfId="0" applyFont="1" applyFill="1"/>
    <xf numFmtId="0" fontId="3" fillId="7" borderId="0" xfId="0" applyFont="1" applyFill="1"/>
    <xf numFmtId="1" fontId="5" fillId="7" borderId="0" xfId="0" applyNumberFormat="1" applyFont="1" applyFill="1"/>
    <xf numFmtId="2" fontId="0" fillId="3" borderId="1" xfId="0" applyNumberFormat="1" applyFill="1" applyBorder="1"/>
    <xf numFmtId="166" fontId="0" fillId="3" borderId="2" xfId="3" applyNumberFormat="1" applyFont="1" applyFill="1" applyBorder="1"/>
    <xf numFmtId="44" fontId="0" fillId="3" borderId="1" xfId="1" applyFont="1" applyFill="1" applyBorder="1"/>
    <xf numFmtId="2" fontId="3" fillId="3" borderId="1" xfId="0" applyNumberFormat="1" applyFont="1" applyFill="1" applyBorder="1"/>
    <xf numFmtId="166" fontId="0" fillId="6" borderId="2" xfId="3" applyNumberFormat="1" applyFont="1" applyFill="1" applyBorder="1"/>
    <xf numFmtId="2" fontId="3" fillId="6" borderId="1" xfId="0" applyNumberFormat="1" applyFont="1" applyFill="1" applyBorder="1"/>
    <xf numFmtId="166" fontId="7" fillId="6" borderId="2" xfId="3" applyNumberFormat="1" applyFont="1" applyFill="1" applyBorder="1"/>
    <xf numFmtId="0" fontId="3" fillId="4" borderId="1" xfId="0" applyFont="1" applyFill="1" applyBorder="1" applyAlignment="1">
      <alignment horizontal="right"/>
    </xf>
    <xf numFmtId="0" fontId="3" fillId="4" borderId="2" xfId="1" applyNumberFormat="1" applyFont="1" applyFill="1" applyBorder="1" applyAlignment="1">
      <alignment horizontal="right"/>
    </xf>
    <xf numFmtId="0" fontId="3" fillId="4" borderId="1" xfId="3" applyNumberFormat="1" applyFont="1" applyFill="1" applyBorder="1" applyAlignment="1">
      <alignment horizontal="right"/>
    </xf>
    <xf numFmtId="0" fontId="10" fillId="5" borderId="0" xfId="0" applyFont="1" applyFill="1"/>
    <xf numFmtId="0" fontId="12" fillId="5" borderId="0" xfId="0" applyFont="1" applyFill="1"/>
    <xf numFmtId="0" fontId="12" fillId="5" borderId="0" xfId="0" applyFont="1" applyFill="1" applyAlignment="1">
      <alignment horizontal="center"/>
    </xf>
    <xf numFmtId="0" fontId="11" fillId="5" borderId="0" xfId="0" applyFont="1" applyFill="1" applyAlignment="1">
      <alignment horizontal="left"/>
    </xf>
    <xf numFmtId="0" fontId="11" fillId="5" borderId="0" xfId="0" applyFont="1" applyFill="1"/>
    <xf numFmtId="0" fontId="3" fillId="2" borderId="0" xfId="0" applyFont="1" applyFill="1" applyAlignment="1">
      <alignment horizontal="left"/>
    </xf>
    <xf numFmtId="0" fontId="13" fillId="5" borderId="0" xfId="0" applyFont="1" applyFill="1" applyAlignment="1">
      <alignment horizontal="center"/>
    </xf>
    <xf numFmtId="1" fontId="0" fillId="2" borderId="0" xfId="0" applyNumberFormat="1" applyFill="1"/>
    <xf numFmtId="168" fontId="0" fillId="0" borderId="0" xfId="0" applyNumberFormat="1"/>
    <xf numFmtId="1" fontId="0" fillId="0" borderId="0" xfId="0" applyNumberFormat="1"/>
    <xf numFmtId="0" fontId="8" fillId="0" borderId="0" xfId="5"/>
    <xf numFmtId="165" fontId="0" fillId="0" borderId="0" xfId="1" applyNumberFormat="1" applyFont="1"/>
    <xf numFmtId="166" fontId="4" fillId="5" borderId="0" xfId="3" applyNumberFormat="1" applyFont="1" applyFill="1" applyAlignment="1">
      <alignment horizontal="center"/>
    </xf>
    <xf numFmtId="166" fontId="4" fillId="5" borderId="0" xfId="3" applyNumberFormat="1" applyFont="1" applyFill="1" applyAlignment="1">
      <alignment horizontal="right"/>
    </xf>
    <xf numFmtId="166" fontId="3" fillId="2" borderId="0" xfId="3" applyNumberFormat="1" applyFont="1" applyFill="1"/>
    <xf numFmtId="166" fontId="5" fillId="7" borderId="0" xfId="3" applyNumberFormat="1" applyFont="1" applyFill="1"/>
    <xf numFmtId="166" fontId="5" fillId="2" borderId="0" xfId="3" applyNumberFormat="1" applyFont="1" applyFill="1"/>
    <xf numFmtId="166" fontId="3" fillId="7" borderId="0" xfId="3" applyNumberFormat="1" applyFont="1" applyFill="1"/>
    <xf numFmtId="166" fontId="3" fillId="2" borderId="0" xfId="3" applyNumberFormat="1" applyFont="1" applyFill="1" applyBorder="1"/>
    <xf numFmtId="9" fontId="3" fillId="2" borderId="0" xfId="3" applyFont="1" applyFill="1"/>
    <xf numFmtId="165" fontId="1" fillId="2" borderId="0" xfId="1" applyNumberFormat="1" applyFont="1" applyFill="1"/>
    <xf numFmtId="164" fontId="1" fillId="2" borderId="0" xfId="2" applyNumberFormat="1" applyFont="1" applyFill="1"/>
    <xf numFmtId="166" fontId="1" fillId="2" borderId="0" xfId="3" applyNumberFormat="1" applyFont="1" applyFill="1"/>
    <xf numFmtId="1" fontId="1" fillId="2" borderId="0" xfId="3" applyNumberFormat="1" applyFont="1" applyFill="1"/>
    <xf numFmtId="164" fontId="1" fillId="3" borderId="1" xfId="2" applyNumberFormat="1" applyFont="1" applyFill="1" applyBorder="1"/>
    <xf numFmtId="164" fontId="1" fillId="6" borderId="1" xfId="2" applyNumberFormat="1" applyFont="1" applyFill="1" applyBorder="1"/>
    <xf numFmtId="44" fontId="0" fillId="2" borderId="0" xfId="0" applyNumberFormat="1" applyFill="1"/>
    <xf numFmtId="166" fontId="1" fillId="6" borderId="3" xfId="3" applyNumberFormat="1" applyFont="1" applyFill="1" applyBorder="1"/>
    <xf numFmtId="166" fontId="1" fillId="6" borderId="2" xfId="3" applyNumberFormat="1" applyFont="1" applyFill="1" applyBorder="1"/>
    <xf numFmtId="1" fontId="1" fillId="3" borderId="3" xfId="3" applyNumberFormat="1" applyFont="1" applyFill="1" applyBorder="1"/>
    <xf numFmtId="1" fontId="1" fillId="3" borderId="2" xfId="3" applyNumberFormat="1" applyFont="1" applyFill="1" applyBorder="1"/>
    <xf numFmtId="1" fontId="1" fillId="6" borderId="2" xfId="3" applyNumberFormat="1" applyFont="1" applyFill="1" applyBorder="1"/>
    <xf numFmtId="166" fontId="1" fillId="6" borderId="4" xfId="3" applyNumberFormat="1" applyFont="1" applyFill="1" applyBorder="1"/>
    <xf numFmtId="0" fontId="14" fillId="2" borderId="0" xfId="0" applyFont="1" applyFill="1"/>
    <xf numFmtId="165" fontId="14" fillId="3" borderId="1" xfId="1" applyNumberFormat="1" applyFont="1" applyFill="1" applyBorder="1"/>
    <xf numFmtId="1" fontId="15" fillId="2" borderId="0" xfId="0" applyNumberFormat="1" applyFont="1" applyFill="1"/>
    <xf numFmtId="166" fontId="15" fillId="2" borderId="0" xfId="3" applyNumberFormat="1" applyFont="1" applyFill="1"/>
    <xf numFmtId="165" fontId="14" fillId="6" borderId="1" xfId="1" applyNumberFormat="1" applyFont="1" applyFill="1" applyBorder="1"/>
    <xf numFmtId="0" fontId="15" fillId="2" borderId="0" xfId="0" applyFont="1" applyFill="1"/>
    <xf numFmtId="2" fontId="1" fillId="3" borderId="3" xfId="3" applyNumberFormat="1" applyFont="1" applyFill="1" applyBorder="1"/>
    <xf numFmtId="2" fontId="1" fillId="3" borderId="2" xfId="3" applyNumberFormat="1" applyFont="1" applyFill="1" applyBorder="1"/>
    <xf numFmtId="0" fontId="4" fillId="5" borderId="0" xfId="0" applyFont="1" applyFill="1" applyAlignment="1">
      <alignment horizontal="center"/>
    </xf>
    <xf numFmtId="9" fontId="5" fillId="2" borderId="0" xfId="3" applyFont="1" applyFill="1"/>
    <xf numFmtId="9" fontId="3" fillId="2" borderId="0" xfId="0" applyNumberFormat="1" applyFont="1" applyFill="1"/>
    <xf numFmtId="1" fontId="2" fillId="3" borderId="1" xfId="0" applyNumberFormat="1" applyFont="1" applyFill="1" applyBorder="1"/>
    <xf numFmtId="10" fontId="2" fillId="2" borderId="0" xfId="3" applyNumberFormat="1" applyFont="1" applyFill="1"/>
    <xf numFmtId="1" fontId="2" fillId="3" borderId="3" xfId="0" applyNumberFormat="1" applyFont="1" applyFill="1" applyBorder="1"/>
    <xf numFmtId="1" fontId="2" fillId="3" borderId="2" xfId="0" applyNumberFormat="1" applyFont="1" applyFill="1" applyBorder="1"/>
    <xf numFmtId="2" fontId="1" fillId="3" borderId="1" xfId="3" applyNumberFormat="1" applyFont="1" applyFill="1" applyBorder="1"/>
    <xf numFmtId="2" fontId="0" fillId="6" borderId="1" xfId="0" applyNumberFormat="1" applyFill="1" applyBorder="1"/>
    <xf numFmtId="169" fontId="0" fillId="6" borderId="1" xfId="0" applyNumberFormat="1" applyFill="1" applyBorder="1"/>
    <xf numFmtId="167" fontId="0" fillId="3" borderId="1" xfId="0" applyNumberFormat="1" applyFill="1" applyBorder="1"/>
    <xf numFmtId="169" fontId="0" fillId="3" borderId="2" xfId="3" applyNumberFormat="1" applyFont="1" applyFill="1" applyBorder="1"/>
    <xf numFmtId="2" fontId="0" fillId="3" borderId="3" xfId="0" applyNumberFormat="1" applyFill="1" applyBorder="1"/>
    <xf numFmtId="165" fontId="3" fillId="2" borderId="0" xfId="1" applyNumberFormat="1" applyFont="1" applyFill="1"/>
    <xf numFmtId="169" fontId="0" fillId="3" borderId="1" xfId="1" applyNumberFormat="1" applyFont="1" applyFill="1" applyBorder="1"/>
    <xf numFmtId="167" fontId="0" fillId="2" borderId="0" xfId="0" applyNumberFormat="1" applyFill="1"/>
    <xf numFmtId="10" fontId="5" fillId="2" borderId="0" xfId="3" applyNumberFormat="1" applyFont="1" applyFill="1"/>
    <xf numFmtId="10" fontId="7" fillId="2" borderId="0" xfId="3" applyNumberFormat="1" applyFont="1" applyFill="1"/>
    <xf numFmtId="0" fontId="4" fillId="5" borderId="0" xfId="0" applyFont="1" applyFill="1" applyAlignment="1">
      <alignment horizontal="center"/>
    </xf>
    <xf numFmtId="0" fontId="4" fillId="5" borderId="0" xfId="0" applyFont="1" applyFill="1" applyAlignment="1">
      <alignment horizontal="center" wrapText="1"/>
    </xf>
    <xf numFmtId="169" fontId="0" fillId="3" borderId="1" xfId="0" applyNumberFormat="1" applyFill="1" applyBorder="1"/>
    <xf numFmtId="169" fontId="5" fillId="2" borderId="0" xfId="0" applyNumberFormat="1" applyFont="1" applyFill="1"/>
  </cellXfs>
  <cellStyles count="6">
    <cellStyle name="Comma" xfId="2" builtinId="3"/>
    <cellStyle name="Currency" xfId="1" builtinId="4"/>
    <cellStyle name="Normal" xfId="0" builtinId="0"/>
    <cellStyle name="Normal 2" xfId="5" xr:uid="{FF446328-CC75-49A8-8A89-D6CDDBD4C714}"/>
    <cellStyle name="Normal 3" xfId="4" xr:uid="{05C2FE31-1509-4D3C-A74B-E2716C43025B}"/>
    <cellStyle name="Percent" xfId="3" builtinId="5"/>
  </cellStyles>
  <dxfs count="0"/>
  <tableStyles count="0" defaultTableStyle="TableStyleMedium2" defaultPivotStyle="PivotStyleLight16"/>
  <colors>
    <mruColors>
      <color rgb="FF00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79176FB0-B7F2-11CE-97EF-00AA006D2776}" ax:persistence="persistStreamInit" r:id="rId1"/>
</file>

<file path=xl/activeX/activeX9.xml><?xml version="1.0" encoding="utf-8"?>
<ax:ocx xmlns:ax="http://schemas.microsoft.com/office/2006/activeX" xmlns:r="http://schemas.openxmlformats.org/officeDocument/2006/relationships" ax:classid="{79176FB0-B7F2-11CE-97EF-00AA006D2776}" ax:persistence="persistStreamInit" r:id="rId1"/>
</file>

<file path=xl/activeX/activeX10.xml><?xml version="1.0" encoding="utf-8"?>
<ax:ocx xmlns:ax="http://schemas.microsoft.com/office/2006/activeX" xmlns:r="http://schemas.openxmlformats.org/officeDocument/2006/relationships" ax:classid="{79176FB0-B7F2-11CE-97EF-00AA006D2776}" ax:persistence="persistStreamInit" r:id="rId1"/>
</file>

<file path=xl/activeX/activeX11.xml><?xml version="1.0" encoding="utf-8"?>
<ax:ocx xmlns:ax="http://schemas.microsoft.com/office/2006/activeX" xmlns:r="http://schemas.openxmlformats.org/officeDocument/2006/relationships" ax:classid="{79176FB0-B7F2-11CE-97EF-00AA006D2776}" ax:persistence="persistStreamInit" r:id="rId1"/>
</file>

<file path=xl/activeX/activeX12.xml><?xml version="1.0" encoding="utf-8"?>
<ax:ocx xmlns:ax="http://schemas.microsoft.com/office/2006/activeX" xmlns:r="http://schemas.openxmlformats.org/officeDocument/2006/relationships" ax:classid="{79176FB0-B7F2-11CE-97EF-00AA006D2776}" ax:persistence="persistStreamInit" r:id="rId1"/>
</file>

<file path=xl/activeX/activeX13.xml><?xml version="1.0" encoding="utf-8"?>
<ax:ocx xmlns:ax="http://schemas.microsoft.com/office/2006/activeX" xmlns:r="http://schemas.openxmlformats.org/officeDocument/2006/relationships" ax:classid="{79176FB0-B7F2-11CE-97EF-00AA006D2776}"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activeX/activeX15.xml><?xml version="1.0" encoding="utf-8"?>
<ax:ocx xmlns:ax="http://schemas.microsoft.com/office/2006/activeX" xmlns:r="http://schemas.openxmlformats.org/officeDocument/2006/relationships" ax:classid="{79176FB0-B7F2-11CE-97EF-00AA006D2776}" ax:persistence="persistStreamInit" r:id="rId1"/>
</file>

<file path=xl/activeX/activeX16.xml><?xml version="1.0" encoding="utf-8"?>
<ax:ocx xmlns:ax="http://schemas.microsoft.com/office/2006/activeX" xmlns:r="http://schemas.openxmlformats.org/officeDocument/2006/relationships" ax:classid="{79176FB0-B7F2-11CE-97EF-00AA006D2776}" ax:persistence="persistStreamInit" r:id="rId1"/>
</file>

<file path=xl/activeX/activeX17.xml><?xml version="1.0" encoding="utf-8"?>
<ax:ocx xmlns:ax="http://schemas.microsoft.com/office/2006/activeX" xmlns:r="http://schemas.openxmlformats.org/officeDocument/2006/relationships" ax:classid="{79176FB0-B7F2-11CE-97EF-00AA006D2776}" ax:persistence="persistStreamInit" r:id="rId1"/>
</file>

<file path=xl/activeX/activeX18.xml><?xml version="1.0" encoding="utf-8"?>
<ax:ocx xmlns:ax="http://schemas.microsoft.com/office/2006/activeX" xmlns:r="http://schemas.openxmlformats.org/officeDocument/2006/relationships" ax:classid="{79176FB0-B7F2-11CE-97EF-00AA006D2776}" ax:persistence="persistStreamInit" r:id="rId1"/>
</file>

<file path=xl/activeX/activeX19.xml><?xml version="1.0" encoding="utf-8"?>
<ax:ocx xmlns:ax="http://schemas.microsoft.com/office/2006/activeX" xmlns:r="http://schemas.openxmlformats.org/officeDocument/2006/relationships" ax:classid="{79176FB0-B7F2-11CE-97EF-00AA006D2776}" ax:persistence="persistStreamInit" r:id="rId1"/>
</file>

<file path=xl/activeX/activeX20.xml><?xml version="1.0" encoding="utf-8"?>
<ax:ocx xmlns:ax="http://schemas.microsoft.com/office/2006/activeX" xmlns:r="http://schemas.openxmlformats.org/officeDocument/2006/relationships" ax:classid="{79176FB0-B7F2-11CE-97EF-00AA006D2776}" ax:persistence="persistStreamInit" r:id="rId1"/>
</file>

<file path=xl/activeX/activeX21.xml><?xml version="1.0" encoding="utf-8"?>
<ax:ocx xmlns:ax="http://schemas.microsoft.com/office/2006/activeX" xmlns:r="http://schemas.openxmlformats.org/officeDocument/2006/relationships" ax:classid="{79176FB0-B7F2-11CE-97EF-00AA006D2776}" ax:persistence="persistStreamInit" r:id="rId1"/>
</file>

<file path=xl/activeX/activeX22.xml><?xml version="1.0" encoding="utf-8"?>
<ax:ocx xmlns:ax="http://schemas.microsoft.com/office/2006/activeX" xmlns:r="http://schemas.openxmlformats.org/officeDocument/2006/relationships" ax:classid="{79176FB0-B7F2-11CE-97EF-00AA006D2776}" ax:persistence="persistStreamInit" r:id="rId1"/>
</file>

<file path=xl/activeX/activeX23.xml><?xml version="1.0" encoding="utf-8"?>
<ax:ocx xmlns:ax="http://schemas.microsoft.com/office/2006/activeX" xmlns:r="http://schemas.openxmlformats.org/officeDocument/2006/relationships" ax:classid="{79176FB0-B7F2-11CE-97EF-00AA006D2776}" ax:persistence="persistStreamInit" r:id="rId1"/>
</file>

<file path=xl/activeX/activeX24.xml><?xml version="1.0" encoding="utf-8"?>
<ax:ocx xmlns:ax="http://schemas.microsoft.com/office/2006/activeX" xmlns:r="http://schemas.openxmlformats.org/officeDocument/2006/relationships" ax:classid="{79176FB0-B7F2-11CE-97EF-00AA006D2776}" ax:persistence="persistStreamInit" r:id="rId1"/>
</file>

<file path=xl/activeX/activeX25.xml><?xml version="1.0" encoding="utf-8"?>
<ax:ocx xmlns:ax="http://schemas.microsoft.com/office/2006/activeX" xmlns:r="http://schemas.openxmlformats.org/officeDocument/2006/relationships" ax:classid="{79176FB0-B7F2-11CE-97EF-00AA006D2776}" ax:persistence="persistStreamInit" r:id="rId1"/>
</file>

<file path=xl/activeX/activeX26.xml><?xml version="1.0" encoding="utf-8"?>
<ax:ocx xmlns:ax="http://schemas.microsoft.com/office/2006/activeX" xmlns:r="http://schemas.openxmlformats.org/officeDocument/2006/relationships" ax:classid="{79176FB0-B7F2-11CE-97EF-00AA006D2776}" ax:persistence="persistStreamInit" r:id="rId1"/>
</file>

<file path=xl/activeX/activeX27.xml><?xml version="1.0" encoding="utf-8"?>
<ax:ocx xmlns:ax="http://schemas.microsoft.com/office/2006/activeX" xmlns:r="http://schemas.openxmlformats.org/officeDocument/2006/relationships" ax:classid="{79176FB0-B7F2-11CE-97EF-00AA006D2776}" ax:persistence="persistStreamInit" r:id="rId1"/>
</file>

<file path=xl/activeX/activeX28.xml><?xml version="1.0" encoding="utf-8"?>
<ax:ocx xmlns:ax="http://schemas.microsoft.com/office/2006/activeX" xmlns:r="http://schemas.openxmlformats.org/officeDocument/2006/relationships" ax:classid="{79176FB0-B7F2-11CE-97EF-00AA006D2776}" ax:persistence="persistStreamInit" r:id="rId1"/>
</file>

<file path=xl/activeX/activeX29.xml><?xml version="1.0" encoding="utf-8"?>
<ax:ocx xmlns:ax="http://schemas.microsoft.com/office/2006/activeX" xmlns:r="http://schemas.openxmlformats.org/officeDocument/2006/relationships" ax:classid="{79176FB0-B7F2-11CE-97EF-00AA006D2776}" ax:persistence="persistStreamInit" r:id="rId1"/>
</file>

<file path=xl/activeX/activeX30.xml><?xml version="1.0" encoding="utf-8"?>
<ax:ocx xmlns:ax="http://schemas.microsoft.com/office/2006/activeX" xmlns:r="http://schemas.openxmlformats.org/officeDocument/2006/relationships" ax:classid="{79176FB0-B7F2-11CE-97EF-00AA006D2776}" ax:persistence="persistStreamInit" r:id="rId1"/>
</file>

<file path=xl/activeX/activeX31.xml><?xml version="1.0" encoding="utf-8"?>
<ax:ocx xmlns:ax="http://schemas.microsoft.com/office/2006/activeX" xmlns:r="http://schemas.openxmlformats.org/officeDocument/2006/relationships" ax:classid="{79176FB0-B7F2-11CE-97EF-00AA006D2776}" ax:persistence="persistStreamInit" r:id="rId1"/>
</file>

<file path=xl/activeX/activeX32.xml><?xml version="1.0" encoding="utf-8"?>
<ax:ocx xmlns:ax="http://schemas.microsoft.com/office/2006/activeX" xmlns:r="http://schemas.openxmlformats.org/officeDocument/2006/relationships" ax:classid="{79176FB0-B7F2-11CE-97EF-00AA006D2776}" ax:persistence="persistStreamInit" r:id="rId1"/>
</file>

<file path=xl/activeX/activeX33.xml><?xml version="1.0" encoding="utf-8"?>
<ax:ocx xmlns:ax="http://schemas.microsoft.com/office/2006/activeX" xmlns:r="http://schemas.openxmlformats.org/officeDocument/2006/relationships" ax:classid="{79176FB0-B7F2-11CE-97EF-00AA006D2776}" ax:persistence="persistStreamInit" r:id="rId1"/>
</file>

<file path=xl/activeX/activeX34.xml><?xml version="1.0" encoding="utf-8"?>
<ax:ocx xmlns:ax="http://schemas.microsoft.com/office/2006/activeX" xmlns:r="http://schemas.openxmlformats.org/officeDocument/2006/relationships" ax:classid="{79176FB0-B7F2-11CE-97EF-00AA006D2776}" ax:persistence="persistStreamInit" r:id="rId1"/>
</file>

<file path=xl/activeX/activeX35.xml><?xml version="1.0" encoding="utf-8"?>
<ax:ocx xmlns:ax="http://schemas.microsoft.com/office/2006/activeX" xmlns:r="http://schemas.openxmlformats.org/officeDocument/2006/relationships" ax:classid="{79176FB0-B7F2-11CE-97EF-00AA006D2776}" ax:persistence="persistStreamInit" r:id="rId1"/>
</file>

<file path=xl/activeX/activeX36.xml><?xml version="1.0" encoding="utf-8"?>
<ax:ocx xmlns:ax="http://schemas.microsoft.com/office/2006/activeX" xmlns:r="http://schemas.openxmlformats.org/officeDocument/2006/relationships" ax:classid="{79176FB0-B7F2-11CE-97EF-00AA006D2776}" ax:persistence="persistStreamInit" r:id="rId1"/>
</file>

<file path=xl/activeX/activeX37.xml><?xml version="1.0" encoding="utf-8"?>
<ax:ocx xmlns:ax="http://schemas.microsoft.com/office/2006/activeX" xmlns:r="http://schemas.openxmlformats.org/officeDocument/2006/relationships" ax:classid="{79176FB0-B7F2-11CE-97EF-00AA006D2776}" ax:persistence="persistStreamInit" r:id="rId1"/>
</file>

<file path=xl/activeX/activeX38.xml><?xml version="1.0" encoding="utf-8"?>
<ax:ocx xmlns:ax="http://schemas.microsoft.com/office/2006/activeX" xmlns:r="http://schemas.openxmlformats.org/officeDocument/2006/relationships" ax:classid="{79176FB0-B7F2-11CE-97EF-00AA006D2776}" ax:persistence="persistStreamInit" r:id="rId1"/>
</file>

<file path=xl/activeX/activeX39.xml><?xml version="1.0" encoding="utf-8"?>
<ax:ocx xmlns:ax="http://schemas.microsoft.com/office/2006/activeX" xmlns:r="http://schemas.openxmlformats.org/officeDocument/2006/relationships" ax:classid="{79176FB0-B7F2-11CE-97EF-00AA006D2776}"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11" Type="http://schemas.openxmlformats.org/officeDocument/2006/relationships/image" Target="../media/image11.emf"/><Relationship Id="rId5" Type="http://schemas.openxmlformats.org/officeDocument/2006/relationships/image" Target="../media/image2.emf"/><Relationship Id="rId10" Type="http://schemas.openxmlformats.org/officeDocument/2006/relationships/image" Target="../media/image10.emf"/><Relationship Id="rId4" Type="http://schemas.openxmlformats.org/officeDocument/2006/relationships/image" Target="../media/image3.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85725</xdr:colOff>
      <xdr:row>29</xdr:row>
      <xdr:rowOff>73368</xdr:rowOff>
    </xdr:from>
    <xdr:to>
      <xdr:col>1</xdr:col>
      <xdr:colOff>1409958</xdr:colOff>
      <xdr:row>30</xdr:row>
      <xdr:rowOff>120993</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291671" y="5749753"/>
          <a:ext cx="1324233" cy="240699"/>
        </a:xfrm>
        <a:prstGeom prst="rect">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Input cells</a:t>
          </a:r>
        </a:p>
      </xdr:txBody>
    </xdr:sp>
    <xdr:clientData/>
  </xdr:twoCellAnchor>
  <xdr:twoCellAnchor>
    <xdr:from>
      <xdr:col>1</xdr:col>
      <xdr:colOff>76199</xdr:colOff>
      <xdr:row>30</xdr:row>
      <xdr:rowOff>178144</xdr:rowOff>
    </xdr:from>
    <xdr:to>
      <xdr:col>1</xdr:col>
      <xdr:colOff>1429007</xdr:colOff>
      <xdr:row>32</xdr:row>
      <xdr:rowOff>35267</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282145" y="6047603"/>
          <a:ext cx="1352808" cy="243272"/>
        </a:xfrm>
        <a:prstGeom prst="rect">
          <a:avLst/>
        </a:prstGeom>
        <a:solidFill>
          <a:schemeClr val="accent6">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Calculated cells</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85725</xdr:colOff>
          <xdr:row>6</xdr:row>
          <xdr:rowOff>57150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4</xdr:row>
          <xdr:rowOff>152400</xdr:rowOff>
        </xdr:from>
        <xdr:to>
          <xdr:col>7</xdr:col>
          <xdr:colOff>85725</xdr:colOff>
          <xdr:row>6</xdr:row>
          <xdr:rowOff>38100</xdr:rowOff>
        </xdr:to>
        <xdr:sp macro="" textlink="">
          <xdr:nvSpPr>
            <xdr:cNvPr id="1026" name="ComboBox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152400</xdr:rowOff>
        </xdr:from>
        <xdr:to>
          <xdr:col>9</xdr:col>
          <xdr:colOff>57150</xdr:colOff>
          <xdr:row>6</xdr:row>
          <xdr:rowOff>38100</xdr:rowOff>
        </xdr:to>
        <xdr:sp macro="" textlink="">
          <xdr:nvSpPr>
            <xdr:cNvPr id="1027" name="ComboBox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142875</xdr:rowOff>
        </xdr:from>
        <xdr:to>
          <xdr:col>5</xdr:col>
          <xdr:colOff>85725</xdr:colOff>
          <xdr:row>8</xdr:row>
          <xdr:rowOff>28575</xdr:rowOff>
        </xdr:to>
        <xdr:sp macro="" textlink="">
          <xdr:nvSpPr>
            <xdr:cNvPr id="1028" name="ComboBox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142875</xdr:rowOff>
        </xdr:from>
        <xdr:to>
          <xdr:col>7</xdr:col>
          <xdr:colOff>85725</xdr:colOff>
          <xdr:row>8</xdr:row>
          <xdr:rowOff>38100</xdr:rowOff>
        </xdr:to>
        <xdr:sp macro="" textlink="">
          <xdr:nvSpPr>
            <xdr:cNvPr id="1029" name="ComboBox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142875</xdr:rowOff>
        </xdr:from>
        <xdr:to>
          <xdr:col>9</xdr:col>
          <xdr:colOff>57150</xdr:colOff>
          <xdr:row>8</xdr:row>
          <xdr:rowOff>28575</xdr:rowOff>
        </xdr:to>
        <xdr:sp macro="" textlink="">
          <xdr:nvSpPr>
            <xdr:cNvPr id="1030" name="ComboBox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9525</xdr:rowOff>
        </xdr:from>
        <xdr:to>
          <xdr:col>4</xdr:col>
          <xdr:colOff>466725</xdr:colOff>
          <xdr:row>10</xdr:row>
          <xdr:rowOff>9525</xdr:rowOff>
        </xdr:to>
        <xdr:sp macro="" textlink="">
          <xdr:nvSpPr>
            <xdr:cNvPr id="1032" name="Spin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4</xdr:col>
          <xdr:colOff>466725</xdr:colOff>
          <xdr:row>12</xdr:row>
          <xdr:rowOff>9525</xdr:rowOff>
        </xdr:to>
        <xdr:sp macro="" textlink="">
          <xdr:nvSpPr>
            <xdr:cNvPr id="1033" name="Spin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xdr:row>
          <xdr:rowOff>19050</xdr:rowOff>
        </xdr:from>
        <xdr:to>
          <xdr:col>4</xdr:col>
          <xdr:colOff>466725</xdr:colOff>
          <xdr:row>13</xdr:row>
          <xdr:rowOff>19050</xdr:rowOff>
        </xdr:to>
        <xdr:sp macro="" textlink="">
          <xdr:nvSpPr>
            <xdr:cNvPr id="1034" name="Spin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14</xdr:row>
          <xdr:rowOff>9525</xdr:rowOff>
        </xdr:from>
        <xdr:to>
          <xdr:col>4</xdr:col>
          <xdr:colOff>466725</xdr:colOff>
          <xdr:row>15</xdr:row>
          <xdr:rowOff>9525</xdr:rowOff>
        </xdr:to>
        <xdr:sp macro="" textlink="">
          <xdr:nvSpPr>
            <xdr:cNvPr id="1035" name="Spin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9525</xdr:rowOff>
        </xdr:from>
        <xdr:to>
          <xdr:col>4</xdr:col>
          <xdr:colOff>466725</xdr:colOff>
          <xdr:row>16</xdr:row>
          <xdr:rowOff>28575</xdr:rowOff>
        </xdr:to>
        <xdr:sp macro="" textlink="">
          <xdr:nvSpPr>
            <xdr:cNvPr id="1037" name="SpinButton7"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17</xdr:row>
          <xdr:rowOff>9525</xdr:rowOff>
        </xdr:from>
        <xdr:to>
          <xdr:col>4</xdr:col>
          <xdr:colOff>466725</xdr:colOff>
          <xdr:row>18</xdr:row>
          <xdr:rowOff>28575</xdr:rowOff>
        </xdr:to>
        <xdr:sp macro="" textlink="">
          <xdr:nvSpPr>
            <xdr:cNvPr id="1038" name="SpinButton8"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9525</xdr:rowOff>
        </xdr:from>
        <xdr:to>
          <xdr:col>4</xdr:col>
          <xdr:colOff>466725</xdr:colOff>
          <xdr:row>20</xdr:row>
          <xdr:rowOff>28575</xdr:rowOff>
        </xdr:to>
        <xdr:sp macro="" textlink="">
          <xdr:nvSpPr>
            <xdr:cNvPr id="1040" name="SpinButton10"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20</xdr:row>
          <xdr:rowOff>19050</xdr:rowOff>
        </xdr:from>
        <xdr:to>
          <xdr:col>4</xdr:col>
          <xdr:colOff>466725</xdr:colOff>
          <xdr:row>21</xdr:row>
          <xdr:rowOff>38100</xdr:rowOff>
        </xdr:to>
        <xdr:sp macro="" textlink="">
          <xdr:nvSpPr>
            <xdr:cNvPr id="1041" name="SpinButton11"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21</xdr:row>
          <xdr:rowOff>28575</xdr:rowOff>
        </xdr:from>
        <xdr:to>
          <xdr:col>4</xdr:col>
          <xdr:colOff>466725</xdr:colOff>
          <xdr:row>22</xdr:row>
          <xdr:rowOff>47625</xdr:rowOff>
        </xdr:to>
        <xdr:sp macro="" textlink="">
          <xdr:nvSpPr>
            <xdr:cNvPr id="1042" name="SpinButton12"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24</xdr:row>
          <xdr:rowOff>9525</xdr:rowOff>
        </xdr:from>
        <xdr:to>
          <xdr:col>4</xdr:col>
          <xdr:colOff>466725</xdr:colOff>
          <xdr:row>25</xdr:row>
          <xdr:rowOff>28575</xdr:rowOff>
        </xdr:to>
        <xdr:sp macro="" textlink="">
          <xdr:nvSpPr>
            <xdr:cNvPr id="1043" name="SpinButton13"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6</xdr:col>
          <xdr:colOff>466725</xdr:colOff>
          <xdr:row>10</xdr:row>
          <xdr:rowOff>9525</xdr:rowOff>
        </xdr:to>
        <xdr:sp macro="" textlink="">
          <xdr:nvSpPr>
            <xdr:cNvPr id="1045" name="SpinButton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11</xdr:row>
          <xdr:rowOff>9525</xdr:rowOff>
        </xdr:from>
        <xdr:to>
          <xdr:col>6</xdr:col>
          <xdr:colOff>466725</xdr:colOff>
          <xdr:row>12</xdr:row>
          <xdr:rowOff>9525</xdr:rowOff>
        </xdr:to>
        <xdr:sp macro="" textlink="">
          <xdr:nvSpPr>
            <xdr:cNvPr id="1046" name="SpinButton14"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12</xdr:row>
          <xdr:rowOff>9525</xdr:rowOff>
        </xdr:from>
        <xdr:to>
          <xdr:col>6</xdr:col>
          <xdr:colOff>466725</xdr:colOff>
          <xdr:row>13</xdr:row>
          <xdr:rowOff>9525</xdr:rowOff>
        </xdr:to>
        <xdr:sp macro="" textlink="">
          <xdr:nvSpPr>
            <xdr:cNvPr id="1047" name="SpinButton15"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14</xdr:row>
          <xdr:rowOff>9525</xdr:rowOff>
        </xdr:from>
        <xdr:to>
          <xdr:col>6</xdr:col>
          <xdr:colOff>466725</xdr:colOff>
          <xdr:row>15</xdr:row>
          <xdr:rowOff>9525</xdr:rowOff>
        </xdr:to>
        <xdr:sp macro="" textlink="">
          <xdr:nvSpPr>
            <xdr:cNvPr id="1048" name="SpinButton1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15</xdr:row>
          <xdr:rowOff>9525</xdr:rowOff>
        </xdr:from>
        <xdr:to>
          <xdr:col>6</xdr:col>
          <xdr:colOff>466725</xdr:colOff>
          <xdr:row>16</xdr:row>
          <xdr:rowOff>28575</xdr:rowOff>
        </xdr:to>
        <xdr:sp macro="" textlink="">
          <xdr:nvSpPr>
            <xdr:cNvPr id="1049" name="SpinButton1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17</xdr:row>
          <xdr:rowOff>9525</xdr:rowOff>
        </xdr:from>
        <xdr:to>
          <xdr:col>6</xdr:col>
          <xdr:colOff>466725</xdr:colOff>
          <xdr:row>18</xdr:row>
          <xdr:rowOff>28575</xdr:rowOff>
        </xdr:to>
        <xdr:sp macro="" textlink="">
          <xdr:nvSpPr>
            <xdr:cNvPr id="1050" name="SpinButton18"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19</xdr:row>
          <xdr:rowOff>9525</xdr:rowOff>
        </xdr:from>
        <xdr:to>
          <xdr:col>6</xdr:col>
          <xdr:colOff>466725</xdr:colOff>
          <xdr:row>20</xdr:row>
          <xdr:rowOff>28575</xdr:rowOff>
        </xdr:to>
        <xdr:sp macro="" textlink="">
          <xdr:nvSpPr>
            <xdr:cNvPr id="1052" name="SpinButton20"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20</xdr:row>
          <xdr:rowOff>19050</xdr:rowOff>
        </xdr:from>
        <xdr:to>
          <xdr:col>6</xdr:col>
          <xdr:colOff>466725</xdr:colOff>
          <xdr:row>21</xdr:row>
          <xdr:rowOff>38100</xdr:rowOff>
        </xdr:to>
        <xdr:sp macro="" textlink="">
          <xdr:nvSpPr>
            <xdr:cNvPr id="1053" name="SpinButton21"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21</xdr:row>
          <xdr:rowOff>28575</xdr:rowOff>
        </xdr:from>
        <xdr:to>
          <xdr:col>6</xdr:col>
          <xdr:colOff>466725</xdr:colOff>
          <xdr:row>22</xdr:row>
          <xdr:rowOff>47625</xdr:rowOff>
        </xdr:to>
        <xdr:sp macro="" textlink="">
          <xdr:nvSpPr>
            <xdr:cNvPr id="1054" name="SpinButton22"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24</xdr:row>
          <xdr:rowOff>9525</xdr:rowOff>
        </xdr:from>
        <xdr:to>
          <xdr:col>6</xdr:col>
          <xdr:colOff>466725</xdr:colOff>
          <xdr:row>25</xdr:row>
          <xdr:rowOff>28575</xdr:rowOff>
        </xdr:to>
        <xdr:sp macro="" textlink="">
          <xdr:nvSpPr>
            <xdr:cNvPr id="1055" name="SpinButton23"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xdr:row>
          <xdr:rowOff>9525</xdr:rowOff>
        </xdr:from>
        <xdr:to>
          <xdr:col>8</xdr:col>
          <xdr:colOff>447675</xdr:colOff>
          <xdr:row>10</xdr:row>
          <xdr:rowOff>9525</xdr:rowOff>
        </xdr:to>
        <xdr:sp macro="" textlink="">
          <xdr:nvSpPr>
            <xdr:cNvPr id="1057" name="SpinButton25"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11</xdr:row>
          <xdr:rowOff>9525</xdr:rowOff>
        </xdr:from>
        <xdr:to>
          <xdr:col>8</xdr:col>
          <xdr:colOff>447675</xdr:colOff>
          <xdr:row>12</xdr:row>
          <xdr:rowOff>0</xdr:rowOff>
        </xdr:to>
        <xdr:sp macro="" textlink="">
          <xdr:nvSpPr>
            <xdr:cNvPr id="1058" name="SpinButton26"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xdr:row>
          <xdr:rowOff>19050</xdr:rowOff>
        </xdr:from>
        <xdr:to>
          <xdr:col>8</xdr:col>
          <xdr:colOff>447675</xdr:colOff>
          <xdr:row>13</xdr:row>
          <xdr:rowOff>19050</xdr:rowOff>
        </xdr:to>
        <xdr:sp macro="" textlink="">
          <xdr:nvSpPr>
            <xdr:cNvPr id="1059" name="SpinButton27"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xdr:row>
          <xdr:rowOff>9525</xdr:rowOff>
        </xdr:from>
        <xdr:to>
          <xdr:col>8</xdr:col>
          <xdr:colOff>447675</xdr:colOff>
          <xdr:row>15</xdr:row>
          <xdr:rowOff>9525</xdr:rowOff>
        </xdr:to>
        <xdr:sp macro="" textlink="">
          <xdr:nvSpPr>
            <xdr:cNvPr id="1060" name="SpinButton28"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15</xdr:row>
          <xdr:rowOff>9525</xdr:rowOff>
        </xdr:from>
        <xdr:to>
          <xdr:col>8</xdr:col>
          <xdr:colOff>447675</xdr:colOff>
          <xdr:row>16</xdr:row>
          <xdr:rowOff>28575</xdr:rowOff>
        </xdr:to>
        <xdr:sp macro="" textlink="">
          <xdr:nvSpPr>
            <xdr:cNvPr id="1061" name="SpinButton29"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17</xdr:row>
          <xdr:rowOff>9525</xdr:rowOff>
        </xdr:from>
        <xdr:to>
          <xdr:col>8</xdr:col>
          <xdr:colOff>447675</xdr:colOff>
          <xdr:row>18</xdr:row>
          <xdr:rowOff>28575</xdr:rowOff>
        </xdr:to>
        <xdr:sp macro="" textlink="">
          <xdr:nvSpPr>
            <xdr:cNvPr id="1062" name="SpinButton3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19</xdr:row>
          <xdr:rowOff>9525</xdr:rowOff>
        </xdr:from>
        <xdr:to>
          <xdr:col>8</xdr:col>
          <xdr:colOff>447675</xdr:colOff>
          <xdr:row>20</xdr:row>
          <xdr:rowOff>28575</xdr:rowOff>
        </xdr:to>
        <xdr:sp macro="" textlink="">
          <xdr:nvSpPr>
            <xdr:cNvPr id="1064" name="SpinButton32"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20</xdr:row>
          <xdr:rowOff>28575</xdr:rowOff>
        </xdr:from>
        <xdr:to>
          <xdr:col>8</xdr:col>
          <xdr:colOff>447675</xdr:colOff>
          <xdr:row>21</xdr:row>
          <xdr:rowOff>47625</xdr:rowOff>
        </xdr:to>
        <xdr:sp macro="" textlink="">
          <xdr:nvSpPr>
            <xdr:cNvPr id="1065" name="SpinButton33"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21</xdr:row>
          <xdr:rowOff>47625</xdr:rowOff>
        </xdr:from>
        <xdr:to>
          <xdr:col>8</xdr:col>
          <xdr:colOff>447675</xdr:colOff>
          <xdr:row>22</xdr:row>
          <xdr:rowOff>66675</xdr:rowOff>
        </xdr:to>
        <xdr:sp macro="" textlink="">
          <xdr:nvSpPr>
            <xdr:cNvPr id="1066" name="SpinButton34"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24</xdr:row>
          <xdr:rowOff>9525</xdr:rowOff>
        </xdr:from>
        <xdr:to>
          <xdr:col>8</xdr:col>
          <xdr:colOff>447675</xdr:colOff>
          <xdr:row>25</xdr:row>
          <xdr:rowOff>28575</xdr:rowOff>
        </xdr:to>
        <xdr:sp macro="" textlink="">
          <xdr:nvSpPr>
            <xdr:cNvPr id="1067" name="SpinButton35"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23</xdr:row>
          <xdr:rowOff>9525</xdr:rowOff>
        </xdr:from>
        <xdr:to>
          <xdr:col>4</xdr:col>
          <xdr:colOff>466725</xdr:colOff>
          <xdr:row>24</xdr:row>
          <xdr:rowOff>28575</xdr:rowOff>
        </xdr:to>
        <xdr:sp macro="" textlink="">
          <xdr:nvSpPr>
            <xdr:cNvPr id="1069" name="SpinButton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23</xdr:row>
          <xdr:rowOff>9525</xdr:rowOff>
        </xdr:from>
        <xdr:to>
          <xdr:col>6</xdr:col>
          <xdr:colOff>466725</xdr:colOff>
          <xdr:row>24</xdr:row>
          <xdr:rowOff>28575</xdr:rowOff>
        </xdr:to>
        <xdr:sp macro="" textlink="">
          <xdr:nvSpPr>
            <xdr:cNvPr id="1070" name="SpinButton24"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23</xdr:row>
          <xdr:rowOff>9525</xdr:rowOff>
        </xdr:from>
        <xdr:to>
          <xdr:col>8</xdr:col>
          <xdr:colOff>466725</xdr:colOff>
          <xdr:row>24</xdr:row>
          <xdr:rowOff>28575</xdr:rowOff>
        </xdr:to>
        <xdr:sp macro="" textlink="">
          <xdr:nvSpPr>
            <xdr:cNvPr id="1071" name="SpinButton3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5.xml"/><Relationship Id="rId39" Type="http://schemas.openxmlformats.org/officeDocument/2006/relationships/image" Target="../media/image9.emf"/><Relationship Id="rId3" Type="http://schemas.openxmlformats.org/officeDocument/2006/relationships/vmlDrawing" Target="../drawings/vmlDrawing1.vml"/><Relationship Id="rId21" Type="http://schemas.openxmlformats.org/officeDocument/2006/relationships/control" Target="../activeX/activeX11.xml"/><Relationship Id="rId34" Type="http://schemas.openxmlformats.org/officeDocument/2006/relationships/control" Target="../activeX/activeX23.xml"/><Relationship Id="rId42" Type="http://schemas.openxmlformats.org/officeDocument/2006/relationships/control" Target="../activeX/activeX29.xml"/><Relationship Id="rId47" Type="http://schemas.openxmlformats.org/officeDocument/2006/relationships/control" Target="../activeX/activeX33.xml"/><Relationship Id="rId50" Type="http://schemas.openxmlformats.org/officeDocument/2006/relationships/control" Target="../activeX/activeX3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4.xml"/><Relationship Id="rId33" Type="http://schemas.openxmlformats.org/officeDocument/2006/relationships/control" Target="../activeX/activeX22.xml"/><Relationship Id="rId38" Type="http://schemas.openxmlformats.org/officeDocument/2006/relationships/control" Target="../activeX/activeX27.xml"/><Relationship Id="rId46" Type="http://schemas.openxmlformats.org/officeDocument/2006/relationships/control" Target="../activeX/activeX3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10.xml"/><Relationship Id="rId29" Type="http://schemas.openxmlformats.org/officeDocument/2006/relationships/control" Target="../activeX/activeX18.xml"/><Relationship Id="rId41" Type="http://schemas.openxmlformats.org/officeDocument/2006/relationships/image" Target="../media/image1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3.xml"/><Relationship Id="rId32" Type="http://schemas.openxmlformats.org/officeDocument/2006/relationships/control" Target="../activeX/activeX21.xml"/><Relationship Id="rId37" Type="http://schemas.openxmlformats.org/officeDocument/2006/relationships/control" Target="../activeX/activeX26.xml"/><Relationship Id="rId40" Type="http://schemas.openxmlformats.org/officeDocument/2006/relationships/control" Target="../activeX/activeX28.xml"/><Relationship Id="rId45" Type="http://schemas.openxmlformats.org/officeDocument/2006/relationships/image" Target="../media/image11.emf"/><Relationship Id="rId53" Type="http://schemas.openxmlformats.org/officeDocument/2006/relationships/control" Target="../activeX/activeX3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2.xml"/><Relationship Id="rId28" Type="http://schemas.openxmlformats.org/officeDocument/2006/relationships/control" Target="../activeX/activeX17.xml"/><Relationship Id="rId36" Type="http://schemas.openxmlformats.org/officeDocument/2006/relationships/control" Target="../activeX/activeX25.xml"/><Relationship Id="rId49" Type="http://schemas.openxmlformats.org/officeDocument/2006/relationships/control" Target="../activeX/activeX35.xml"/><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control" Target="../activeX/activeX20.xml"/><Relationship Id="rId44" Type="http://schemas.openxmlformats.org/officeDocument/2006/relationships/control" Target="../activeX/activeX31.xml"/><Relationship Id="rId52" Type="http://schemas.openxmlformats.org/officeDocument/2006/relationships/control" Target="../activeX/activeX38.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image" Target="../media/image8.emf"/><Relationship Id="rId27" Type="http://schemas.openxmlformats.org/officeDocument/2006/relationships/control" Target="../activeX/activeX16.xml"/><Relationship Id="rId30" Type="http://schemas.openxmlformats.org/officeDocument/2006/relationships/control" Target="../activeX/activeX19.xml"/><Relationship Id="rId35" Type="http://schemas.openxmlformats.org/officeDocument/2006/relationships/control" Target="../activeX/activeX24.xml"/><Relationship Id="rId43" Type="http://schemas.openxmlformats.org/officeDocument/2006/relationships/control" Target="../activeX/activeX30.xml"/><Relationship Id="rId48" Type="http://schemas.openxmlformats.org/officeDocument/2006/relationships/control" Target="../activeX/activeX34.xml"/><Relationship Id="rId8" Type="http://schemas.openxmlformats.org/officeDocument/2006/relationships/control" Target="../activeX/activeX3.xml"/><Relationship Id="rId51" Type="http://schemas.openxmlformats.org/officeDocument/2006/relationships/control" Target="../activeX/activeX3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64BE3-103E-4FEB-ACCF-8712A1C4CA3B}">
  <sheetPr codeName="Sheet2"/>
  <dimension ref="B2:R34"/>
  <sheetViews>
    <sheetView tabSelected="1" topLeftCell="C1" workbookViewId="0">
      <selection activeCell="G10" sqref="G10:G25"/>
    </sheetView>
  </sheetViews>
  <sheetFormatPr defaultColWidth="9.140625" defaultRowHeight="15" x14ac:dyDescent="0.25"/>
  <cols>
    <col min="1" max="1" width="1.7109375" style="11" customWidth="1"/>
    <col min="2" max="2" width="23.42578125" style="11" customWidth="1"/>
    <col min="3" max="3" width="36.85546875" style="11" customWidth="1"/>
    <col min="4" max="4" width="4.28515625" style="11" hidden="1" customWidth="1"/>
    <col min="5" max="5" width="27.7109375" style="11" customWidth="1"/>
    <col min="6" max="6" width="2.85546875" style="11" customWidth="1"/>
    <col min="7" max="7" width="27.7109375" style="11" customWidth="1"/>
    <col min="8" max="8" width="2.5703125" style="11" customWidth="1"/>
    <col min="9" max="9" width="27.7109375" style="11" customWidth="1"/>
    <col min="10" max="10" width="3.7109375" style="11" customWidth="1"/>
    <col min="11" max="11" width="22.7109375" style="11" bestFit="1" customWidth="1"/>
    <col min="12" max="12" width="38" style="11" bestFit="1" customWidth="1"/>
    <col min="13" max="13" width="21.140625" style="11" bestFit="1" customWidth="1"/>
    <col min="14" max="14" width="12" style="11" customWidth="1"/>
    <col min="15" max="15" width="4" style="11" customWidth="1"/>
    <col min="16" max="16" width="12.5703125" style="11" customWidth="1"/>
    <col min="17" max="17" width="4.140625" style="11" customWidth="1"/>
    <col min="18" max="18" width="12.28515625" style="11" customWidth="1"/>
    <col min="19" max="16384" width="9.140625" style="11"/>
  </cols>
  <sheetData>
    <row r="2" spans="2:18" ht="21" x14ac:dyDescent="0.35">
      <c r="B2" s="74" t="s">
        <v>271</v>
      </c>
      <c r="C2" s="71"/>
      <c r="D2" s="71"/>
      <c r="E2" s="71"/>
      <c r="F2" s="71"/>
      <c r="G2" s="71"/>
      <c r="H2" s="71"/>
      <c r="I2" s="71"/>
      <c r="K2" s="73" t="s">
        <v>65</v>
      </c>
      <c r="L2" s="71"/>
      <c r="M2" s="71"/>
      <c r="N2" s="71"/>
      <c r="O2" s="71"/>
      <c r="P2" s="71"/>
      <c r="Q2" s="71"/>
      <c r="R2" s="71"/>
    </row>
    <row r="3" spans="2:18" x14ac:dyDescent="0.25">
      <c r="B3" s="71" t="s">
        <v>28</v>
      </c>
      <c r="C3" s="71" t="s">
        <v>56</v>
      </c>
      <c r="D3" s="71"/>
      <c r="E3" s="72" t="s">
        <v>14</v>
      </c>
      <c r="F3" s="72"/>
      <c r="G3" s="72" t="s">
        <v>15</v>
      </c>
      <c r="H3" s="72"/>
      <c r="I3" s="72" t="s">
        <v>16</v>
      </c>
      <c r="K3" s="71" t="s">
        <v>28</v>
      </c>
      <c r="L3" s="71" t="s">
        <v>56</v>
      </c>
      <c r="M3" s="71" t="s">
        <v>62</v>
      </c>
      <c r="N3" s="72" t="s">
        <v>14</v>
      </c>
      <c r="O3" s="72"/>
      <c r="P3" s="72" t="s">
        <v>15</v>
      </c>
      <c r="Q3" s="72"/>
      <c r="R3" s="72" t="s">
        <v>16</v>
      </c>
    </row>
    <row r="4" spans="2:18" x14ac:dyDescent="0.25">
      <c r="B4" s="71"/>
      <c r="C4" s="71"/>
      <c r="D4" s="71"/>
      <c r="E4" s="71"/>
      <c r="F4" s="71"/>
      <c r="G4" s="71"/>
      <c r="H4" s="71"/>
      <c r="I4" s="71"/>
      <c r="K4" s="71"/>
      <c r="L4" s="71"/>
      <c r="M4" s="71"/>
      <c r="N4" s="76" t="str">
        <f>E6</f>
        <v>National average</v>
      </c>
      <c r="O4" s="76"/>
      <c r="P4" s="76" t="str">
        <f>G6</f>
        <v>Finishing (North NI)</v>
      </c>
      <c r="Q4" s="76"/>
      <c r="R4" s="76" t="str">
        <f>I6</f>
        <v>Hill country (North NI)</v>
      </c>
    </row>
    <row r="5" spans="2:18" x14ac:dyDescent="0.25">
      <c r="B5" s="70"/>
      <c r="C5" s="24"/>
      <c r="D5" s="24"/>
      <c r="E5" s="24"/>
      <c r="F5" s="24"/>
      <c r="G5" s="24"/>
      <c r="H5" s="24"/>
      <c r="I5" s="24"/>
      <c r="K5" s="70"/>
    </row>
    <row r="6" spans="2:18" x14ac:dyDescent="0.25">
      <c r="B6" s="70" t="s">
        <v>239</v>
      </c>
      <c r="C6" s="24"/>
      <c r="D6" s="24"/>
      <c r="E6" s="24" t="s">
        <v>84</v>
      </c>
      <c r="F6" s="24"/>
      <c r="G6" s="24" t="s">
        <v>250</v>
      </c>
      <c r="H6" s="24"/>
      <c r="I6" s="24" t="s">
        <v>246</v>
      </c>
      <c r="K6" s="70" t="s">
        <v>69</v>
      </c>
      <c r="L6" s="34" t="s">
        <v>315</v>
      </c>
      <c r="M6" s="11" t="s">
        <v>12</v>
      </c>
      <c r="N6" s="37">
        <f>'Dairy GM'!E7</f>
        <v>386989.59950141725</v>
      </c>
      <c r="O6" s="34"/>
      <c r="P6" s="37">
        <f>'Beef GM'!E7</f>
        <v>382272.20686356467</v>
      </c>
      <c r="Q6" s="34"/>
      <c r="R6" s="37">
        <f>'Sheep GM'!E7</f>
        <v>113520.79912034998</v>
      </c>
    </row>
    <row r="7" spans="2:18" x14ac:dyDescent="0.25">
      <c r="B7" s="70"/>
      <c r="C7" s="24"/>
      <c r="D7" s="24"/>
      <c r="E7" s="24"/>
      <c r="F7" s="24"/>
      <c r="G7" s="24"/>
      <c r="H7" s="24"/>
      <c r="I7" s="24"/>
      <c r="K7" s="70"/>
      <c r="L7" s="34" t="s">
        <v>314</v>
      </c>
      <c r="M7" s="11" t="s">
        <v>12</v>
      </c>
      <c r="N7" s="37">
        <f>'Dairy GM'!I7</f>
        <v>312654.19270936435</v>
      </c>
      <c r="O7" s="34"/>
      <c r="P7" s="37">
        <f>'Beef GM'!I7</f>
        <v>374626.33327702363</v>
      </c>
      <c r="Q7" s="34"/>
      <c r="R7" s="37">
        <f>'Sheep GM'!I7</f>
        <v>111094.75734148781</v>
      </c>
    </row>
    <row r="8" spans="2:18" x14ac:dyDescent="0.25">
      <c r="B8" s="70" t="s">
        <v>240</v>
      </c>
      <c r="C8" s="24"/>
      <c r="D8" s="24"/>
      <c r="E8" s="24" t="s">
        <v>358</v>
      </c>
      <c r="F8" s="24"/>
      <c r="G8" s="24" t="s">
        <v>359</v>
      </c>
      <c r="H8" s="24"/>
      <c r="I8" s="24" t="s">
        <v>285</v>
      </c>
      <c r="K8" s="70"/>
      <c r="L8" s="34" t="s">
        <v>83</v>
      </c>
      <c r="M8" s="11" t="s">
        <v>12</v>
      </c>
      <c r="N8" s="37">
        <f>'Dairy GM'!I7-'Dairy GM'!E7</f>
        <v>-74335.406792052905</v>
      </c>
      <c r="O8" s="34"/>
      <c r="P8" s="37">
        <f>'Beef GM'!I7-'Beef GM'!E7</f>
        <v>-7645.8735865410417</v>
      </c>
      <c r="Q8" s="34"/>
      <c r="R8" s="37">
        <f>'Sheep GM'!I7-'Sheep GM'!E7</f>
        <v>-2426.0417788621708</v>
      </c>
    </row>
    <row r="9" spans="2:18" ht="16.5" customHeight="1" x14ac:dyDescent="0.25">
      <c r="B9" s="70"/>
      <c r="C9" s="24"/>
      <c r="D9" s="24"/>
      <c r="E9" s="24"/>
      <c r="F9" s="24"/>
      <c r="G9" s="24"/>
      <c r="H9" s="24"/>
      <c r="I9" s="24"/>
      <c r="K9" s="70"/>
      <c r="L9" s="34" t="s">
        <v>316</v>
      </c>
      <c r="M9" s="11" t="s">
        <v>317</v>
      </c>
      <c r="N9" s="38">
        <f>N8/'Dairy GM'!E7</f>
        <v>-0.19208631675844476</v>
      </c>
      <c r="P9" s="38">
        <f>P8/'Beef GM'!E7</f>
        <v>-2.0001123412223116E-2</v>
      </c>
      <c r="R9" s="38">
        <f>R8/'Sheep GM'!E7</f>
        <v>-2.1370901171072477E-2</v>
      </c>
    </row>
    <row r="10" spans="2:18" ht="16.5" customHeight="1" x14ac:dyDescent="0.25">
      <c r="B10" s="70" t="s">
        <v>53</v>
      </c>
      <c r="C10" s="11" t="s">
        <v>109</v>
      </c>
      <c r="D10" s="11" t="s">
        <v>13</v>
      </c>
      <c r="E10" s="67">
        <v>16</v>
      </c>
      <c r="F10" s="75" t="s">
        <v>13</v>
      </c>
      <c r="G10" s="67">
        <v>77</v>
      </c>
      <c r="H10" s="75" t="s">
        <v>13</v>
      </c>
      <c r="I10" s="67">
        <v>7.5</v>
      </c>
      <c r="J10" s="75" t="s">
        <v>13</v>
      </c>
      <c r="K10" s="70"/>
      <c r="L10" s="34" t="s">
        <v>534</v>
      </c>
      <c r="M10" s="11" t="s">
        <v>372</v>
      </c>
      <c r="N10" s="37">
        <f>N8/'Dairy GM'!E34</f>
        <v>-179.12146214952506</v>
      </c>
      <c r="P10" s="37">
        <f>P8/'Beef GM'!E37</f>
        <v>-695.07941695827651</v>
      </c>
      <c r="R10" s="37">
        <f>R8/'Sheep GM'!E33</f>
        <v>-3.0826452082111446</v>
      </c>
    </row>
    <row r="11" spans="2:18" ht="16.5" customHeight="1" x14ac:dyDescent="0.25">
      <c r="B11" s="70"/>
      <c r="E11" s="15"/>
      <c r="F11" s="15"/>
      <c r="G11" s="15"/>
      <c r="H11" s="15"/>
      <c r="I11" s="15"/>
      <c r="J11" s="15"/>
      <c r="K11" s="70"/>
    </row>
    <row r="12" spans="2:18" ht="16.5" customHeight="1" x14ac:dyDescent="0.25">
      <c r="B12" s="70" t="s">
        <v>54</v>
      </c>
      <c r="C12" s="11" t="s">
        <v>71</v>
      </c>
      <c r="D12" s="11" t="s">
        <v>66</v>
      </c>
      <c r="E12" s="69">
        <v>0</v>
      </c>
      <c r="F12" s="75" t="s">
        <v>13</v>
      </c>
      <c r="G12" s="67">
        <v>0</v>
      </c>
      <c r="H12" s="75" t="s">
        <v>13</v>
      </c>
      <c r="I12" s="67">
        <v>4.8</v>
      </c>
      <c r="J12" s="75" t="s">
        <v>13</v>
      </c>
      <c r="K12" s="70" t="s">
        <v>318</v>
      </c>
      <c r="L12" s="34" t="s">
        <v>237</v>
      </c>
      <c r="M12" s="11" t="s">
        <v>12</v>
      </c>
      <c r="N12" s="35">
        <f>SUM(N13:N15)</f>
        <v>48201.476086487994</v>
      </c>
      <c r="O12" s="34"/>
      <c r="P12" s="35">
        <f>SUM(P13:P15)</f>
        <v>7887.4026576848701</v>
      </c>
      <c r="Q12" s="34"/>
      <c r="R12" s="35">
        <f>SUM(R13:R15)</f>
        <v>111.26428551350364</v>
      </c>
    </row>
    <row r="13" spans="2:18" ht="16.5" customHeight="1" x14ac:dyDescent="0.25">
      <c r="B13" s="70"/>
      <c r="C13" s="11" t="s">
        <v>67</v>
      </c>
      <c r="D13" s="11" t="s">
        <v>66</v>
      </c>
      <c r="E13" s="67">
        <v>2.5</v>
      </c>
      <c r="F13" s="75" t="s">
        <v>13</v>
      </c>
      <c r="G13" s="67">
        <v>2.5</v>
      </c>
      <c r="H13" s="75" t="s">
        <v>13</v>
      </c>
      <c r="I13" s="67">
        <v>7</v>
      </c>
      <c r="J13" s="75" t="s">
        <v>13</v>
      </c>
      <c r="K13" s="70"/>
      <c r="L13" s="11" t="s">
        <v>236</v>
      </c>
      <c r="N13" s="27">
        <f>'Dairy GM'!E10-'Dairy GM'!I10</f>
        <v>48201.476086487994</v>
      </c>
      <c r="P13" s="27"/>
      <c r="R13" s="27"/>
    </row>
    <row r="14" spans="2:18" ht="16.5" customHeight="1" x14ac:dyDescent="0.25">
      <c r="B14" s="70"/>
      <c r="E14" s="15"/>
      <c r="F14" s="15"/>
      <c r="G14" s="15"/>
      <c r="H14" s="15"/>
      <c r="I14" s="15"/>
      <c r="J14" s="15"/>
      <c r="K14" s="70"/>
      <c r="L14" s="1" t="s">
        <v>360</v>
      </c>
      <c r="N14" s="27">
        <f>IF('Dairy GM'!E12-'Dairy GM'!I12&gt;0,'Dairy GM'!E12-'Dairy GM'!I12,0)</f>
        <v>0</v>
      </c>
      <c r="P14" s="27">
        <f>IF('Beef GM'!E9-'Beef GM'!I9&gt;0,'Beef GM'!E9-'Beef GM'!I9,0)</f>
        <v>7887.4026576848701</v>
      </c>
      <c r="R14" s="27">
        <f>IF('Sheep GM'!E12-'Sheep GM'!I12&gt;0,'Sheep GM'!E12-'Sheep GM'!I12,0)</f>
        <v>0</v>
      </c>
    </row>
    <row r="15" spans="2:18" ht="16.5" customHeight="1" x14ac:dyDescent="0.25">
      <c r="B15" s="70" t="s">
        <v>48</v>
      </c>
      <c r="C15" s="11" t="s">
        <v>76</v>
      </c>
      <c r="D15" s="11" t="s">
        <v>66</v>
      </c>
      <c r="E15" s="67">
        <v>8.5</v>
      </c>
      <c r="F15" s="75" t="s">
        <v>13</v>
      </c>
      <c r="G15" s="67">
        <v>8.5</v>
      </c>
      <c r="H15" s="75" t="s">
        <v>13</v>
      </c>
      <c r="I15" s="67">
        <v>3</v>
      </c>
      <c r="J15" s="75" t="s">
        <v>13</v>
      </c>
      <c r="K15" s="70"/>
      <c r="L15" s="1" t="s">
        <v>86</v>
      </c>
      <c r="N15" s="27"/>
      <c r="P15" s="27"/>
      <c r="R15" s="27">
        <f>'Sheep GM'!E10-'Sheep GM'!I10</f>
        <v>111.26428551350364</v>
      </c>
    </row>
    <row r="16" spans="2:18" ht="16.5" customHeight="1" x14ac:dyDescent="0.25">
      <c r="B16" s="70"/>
      <c r="C16" s="11" t="s">
        <v>77</v>
      </c>
      <c r="D16" s="11" t="s">
        <v>66</v>
      </c>
      <c r="E16" s="67">
        <v>32</v>
      </c>
      <c r="F16" s="75" t="s">
        <v>13</v>
      </c>
      <c r="G16" s="67">
        <v>32</v>
      </c>
      <c r="H16" s="75" t="s">
        <v>13</v>
      </c>
      <c r="I16" s="67">
        <v>0</v>
      </c>
      <c r="J16" s="75" t="s">
        <v>13</v>
      </c>
      <c r="K16" s="70"/>
    </row>
    <row r="17" spans="2:18" ht="16.5" customHeight="1" x14ac:dyDescent="0.25">
      <c r="B17" s="70"/>
      <c r="E17" s="15"/>
      <c r="F17" s="15"/>
      <c r="G17" s="15"/>
      <c r="H17" s="15"/>
      <c r="I17" s="15"/>
      <c r="J17" s="15"/>
      <c r="K17" s="70" t="s">
        <v>320</v>
      </c>
      <c r="L17" s="34" t="s">
        <v>237</v>
      </c>
      <c r="M17" s="11" t="s">
        <v>12</v>
      </c>
      <c r="N17" s="36">
        <f>SUM(N18:N20)</f>
        <v>66320.778162574556</v>
      </c>
      <c r="O17" s="34"/>
      <c r="P17" s="36">
        <f>SUM(P18:P20)</f>
        <v>6894.7108475419809</v>
      </c>
      <c r="Q17" s="34"/>
      <c r="R17" s="36">
        <f>SUM(R18:R20)</f>
        <v>3550.3146356274801</v>
      </c>
    </row>
    <row r="18" spans="2:18" ht="16.5" customHeight="1" x14ac:dyDescent="0.25">
      <c r="B18" s="70" t="s">
        <v>55</v>
      </c>
      <c r="C18" s="11" t="s">
        <v>68</v>
      </c>
      <c r="D18" s="11" t="s">
        <v>72</v>
      </c>
      <c r="E18" s="67">
        <v>6.7</v>
      </c>
      <c r="F18" s="75" t="s">
        <v>13</v>
      </c>
      <c r="G18" s="67">
        <v>0</v>
      </c>
      <c r="H18" s="75" t="s">
        <v>13</v>
      </c>
      <c r="I18" s="67">
        <v>5</v>
      </c>
      <c r="J18" s="75" t="s">
        <v>13</v>
      </c>
      <c r="K18" s="70"/>
      <c r="L18" s="1" t="s">
        <v>19</v>
      </c>
      <c r="N18" s="27">
        <f>IF('Dairy GM'!I26&gt;'Dairy GM'!E26,'Dairy GM'!I26-'Dairy GM'!E26,0)</f>
        <v>0</v>
      </c>
      <c r="P18" s="27">
        <f>IF('Beef GM'!I32&gt;'Beef GM'!E32,'Beef GM'!I32-'Beef GM'!E32,0)</f>
        <v>0</v>
      </c>
      <c r="R18" s="27">
        <f>IF('Sheep GM'!I27&gt;'Sheep GM'!E27,'Sheep GM'!I27-'Sheep GM'!E27,0)</f>
        <v>21.730437589095345</v>
      </c>
    </row>
    <row r="19" spans="2:18" ht="16.5" customHeight="1" x14ac:dyDescent="0.25">
      <c r="B19" s="70"/>
      <c r="E19" s="15"/>
      <c r="F19" s="15"/>
      <c r="G19" s="15"/>
      <c r="H19" s="15"/>
      <c r="I19" s="15"/>
      <c r="J19" s="15"/>
      <c r="K19" s="70"/>
      <c r="L19" s="1" t="s">
        <v>11</v>
      </c>
      <c r="N19" s="27">
        <f>IF('Dairy GM'!I27&gt;'Dairy GM'!E27,'Dairy GM'!I27-'Dairy GM'!E27,0)</f>
        <v>0</v>
      </c>
      <c r="P19" s="27">
        <f>IF('Beef GM'!I33&gt;'Beef GM'!E33,'Beef GM'!I33-'Beef GM'!E33,0)</f>
        <v>0</v>
      </c>
      <c r="R19" s="27">
        <f>IF('Sheep GM'!I28&gt;'Sheep GM'!E28,'Sheep GM'!I28-'Sheep GM'!E28,0)</f>
        <v>0</v>
      </c>
    </row>
    <row r="20" spans="2:18" ht="16.5" customHeight="1" x14ac:dyDescent="0.25">
      <c r="B20" s="70" t="s">
        <v>73</v>
      </c>
      <c r="C20" s="11" t="s">
        <v>232</v>
      </c>
      <c r="D20" s="11" t="s">
        <v>13</v>
      </c>
      <c r="E20" s="67">
        <v>0.2</v>
      </c>
      <c r="F20" s="75" t="s">
        <v>13</v>
      </c>
      <c r="G20" s="67">
        <v>0.2</v>
      </c>
      <c r="H20" s="75" t="s">
        <v>13</v>
      </c>
      <c r="I20" s="67">
        <v>0</v>
      </c>
      <c r="J20" s="75" t="s">
        <v>13</v>
      </c>
      <c r="K20" s="70"/>
      <c r="L20" s="1" t="s">
        <v>20</v>
      </c>
      <c r="N20" s="27">
        <f>IF('Dairy GM'!I16&gt;'Dairy GM'!E16,'Dairy GM'!I16-'Dairy GM'!E16,0)</f>
        <v>66320.778162574556</v>
      </c>
      <c r="P20" s="27">
        <f>IF('Beef GM'!I16&gt;'Beef GM'!E16,'Beef GM'!I16-'Beef GM'!E16,0)</f>
        <v>6894.7108475419809</v>
      </c>
      <c r="R20" s="27">
        <f>IF('Sheep GM'!I16&gt;'Sheep GM'!E16,'Sheep GM'!I16-'Sheep GM'!E16,0)</f>
        <v>3528.5841980383848</v>
      </c>
    </row>
    <row r="21" spans="2:18" ht="16.5" customHeight="1" x14ac:dyDescent="0.25">
      <c r="B21" s="70"/>
      <c r="C21" s="11" t="s">
        <v>79</v>
      </c>
      <c r="D21" s="11" t="s">
        <v>66</v>
      </c>
      <c r="E21" s="67">
        <v>0</v>
      </c>
      <c r="F21" s="75" t="s">
        <v>13</v>
      </c>
      <c r="G21" s="67">
        <v>0</v>
      </c>
      <c r="H21" s="75" t="s">
        <v>13</v>
      </c>
      <c r="I21" s="67">
        <v>20</v>
      </c>
      <c r="J21" s="75" t="s">
        <v>13</v>
      </c>
      <c r="K21" s="70"/>
    </row>
    <row r="22" spans="2:18" ht="16.5" customHeight="1" x14ac:dyDescent="0.25">
      <c r="B22" s="70"/>
      <c r="C22" s="11" t="s">
        <v>235</v>
      </c>
      <c r="D22" s="11" t="s">
        <v>66</v>
      </c>
      <c r="E22" s="67"/>
      <c r="F22" s="75" t="s">
        <v>13</v>
      </c>
      <c r="G22" s="67"/>
      <c r="H22" s="75" t="s">
        <v>13</v>
      </c>
      <c r="I22" s="67">
        <v>0</v>
      </c>
      <c r="J22" s="75" t="s">
        <v>13</v>
      </c>
      <c r="K22" s="70" t="s">
        <v>321</v>
      </c>
      <c r="L22" s="34" t="s">
        <v>237</v>
      </c>
      <c r="M22" s="11" t="s">
        <v>12</v>
      </c>
      <c r="N22" s="36">
        <f>SUM(N23:N27)</f>
        <v>17858.691382372679</v>
      </c>
      <c r="O22" s="34"/>
      <c r="P22" s="36">
        <f>SUM(P23:P27)</f>
        <v>241.52907114377558</v>
      </c>
      <c r="Q22" s="34"/>
      <c r="R22" s="36">
        <f>SUM(R23:R27)</f>
        <v>141.87127054896519</v>
      </c>
    </row>
    <row r="23" spans="2:18" ht="16.5" customHeight="1" x14ac:dyDescent="0.25">
      <c r="B23" s="70"/>
      <c r="K23" s="70"/>
      <c r="L23" s="1" t="s">
        <v>8</v>
      </c>
      <c r="N23" s="27">
        <f>IF('Dairy GM'!I24&lt;'Dairy GM'!E24,'Dairy GM'!E24-'Dairy GM'!I24,0)</f>
        <v>11128.704997901514</v>
      </c>
      <c r="P23" s="27">
        <f>IF('Beef GM'!I31&lt;'Beef GM'!E31,'Beef GM'!E31-'Beef GM'!I31,0)</f>
        <v>97.361300862969074</v>
      </c>
      <c r="R23" s="27"/>
    </row>
    <row r="24" spans="2:18" ht="16.5" customHeight="1" x14ac:dyDescent="0.25">
      <c r="B24" s="70" t="s">
        <v>238</v>
      </c>
      <c r="C24" s="11" t="s">
        <v>280</v>
      </c>
      <c r="E24" s="67">
        <v>0</v>
      </c>
      <c r="F24" s="11" t="s">
        <v>13</v>
      </c>
      <c r="G24" s="67">
        <v>0</v>
      </c>
      <c r="H24" s="11" t="s">
        <v>13</v>
      </c>
      <c r="I24" s="67">
        <v>1</v>
      </c>
      <c r="J24" s="11" t="s">
        <v>13</v>
      </c>
      <c r="K24" s="70"/>
      <c r="L24" s="1" t="s">
        <v>186</v>
      </c>
      <c r="N24" s="27"/>
      <c r="P24" s="27"/>
      <c r="R24" s="27">
        <f>IF('Sheep GM'!I25&lt;'Sheep GM'!E25,'Sheep GM'!E25-'Sheep GM'!I25,0)</f>
        <v>75.596886231569442</v>
      </c>
    </row>
    <row r="25" spans="2:18" ht="16.5" customHeight="1" x14ac:dyDescent="0.25">
      <c r="B25" s="70"/>
      <c r="C25" s="11" t="s">
        <v>281</v>
      </c>
      <c r="D25" s="11" t="s">
        <v>241</v>
      </c>
      <c r="E25" s="68">
        <v>0</v>
      </c>
      <c r="G25" s="68">
        <v>0</v>
      </c>
      <c r="I25" s="68">
        <v>20</v>
      </c>
      <c r="K25" s="70"/>
      <c r="L25" s="1" t="s">
        <v>18</v>
      </c>
      <c r="N25" s="27">
        <f>IF('Dairy GM'!I25&lt;'Dairy GM'!E25,'Dairy GM'!E25-'Dairy GM'!I25,0)</f>
        <v>0</v>
      </c>
      <c r="P25" s="27"/>
      <c r="R25" s="27"/>
    </row>
    <row r="26" spans="2:18" ht="16.5" customHeight="1" x14ac:dyDescent="0.25">
      <c r="B26" s="70"/>
      <c r="K26" s="70"/>
      <c r="L26" s="1" t="s">
        <v>19</v>
      </c>
      <c r="N26" s="27">
        <f>IF('Dairy GM'!I26&lt;'Dairy GM'!E26,'Dairy GM'!E26-'Dairy GM'!I26,0)</f>
        <v>2064.3343531212449</v>
      </c>
      <c r="P26" s="27">
        <f>IF('Beef GM'!I32&lt;'Beef GM'!E32,'Beef GM'!E32-'Beef GM'!I32,0)</f>
        <v>44.595896940196326</v>
      </c>
      <c r="R26" s="27">
        <f>IF('Sheep GM'!I27&lt;'Sheep GM'!E27,'Sheep GM'!E27-'Sheep GM'!I27,0)</f>
        <v>0</v>
      </c>
    </row>
    <row r="27" spans="2:18" x14ac:dyDescent="0.25">
      <c r="K27" s="70"/>
      <c r="L27" s="1" t="s">
        <v>11</v>
      </c>
      <c r="N27" s="27">
        <f>IF('Dairy GM'!I27&lt;'Dairy GM'!E27,'Dairy GM'!E27-'Dairy GM'!I27,0)</f>
        <v>4665.6520313499204</v>
      </c>
      <c r="P27" s="27">
        <f>IF('Beef GM'!I33&lt;'Beef GM'!E33,'Beef GM'!E33-'Beef GM'!I33,0)</f>
        <v>99.571873340610182</v>
      </c>
      <c r="R27" s="27">
        <f>IF('Sheep GM'!I28&lt;'Sheep GM'!E28,'Sheep GM'!E28-'Sheep GM'!I28,0)</f>
        <v>66.274384317395743</v>
      </c>
    </row>
    <row r="28" spans="2:18" x14ac:dyDescent="0.25">
      <c r="K28" s="70"/>
    </row>
    <row r="29" spans="2:18" x14ac:dyDescent="0.25">
      <c r="E29" s="89"/>
      <c r="K29" s="70" t="s">
        <v>319</v>
      </c>
      <c r="L29" s="34" t="s">
        <v>237</v>
      </c>
      <c r="M29" s="11" t="s">
        <v>12</v>
      </c>
      <c r="N29" s="35">
        <f>SUM(N30:N30)</f>
        <v>22328.156074636907</v>
      </c>
      <c r="O29" s="34"/>
      <c r="P29" s="35">
        <f>SUM(P30:P30)</f>
        <v>0</v>
      </c>
      <c r="Q29" s="34"/>
      <c r="R29" s="35">
        <f>SUM(R30:R30)</f>
        <v>1059.3909219004563</v>
      </c>
    </row>
    <row r="30" spans="2:18" x14ac:dyDescent="0.25">
      <c r="G30" s="124"/>
      <c r="H30" s="124"/>
      <c r="I30" s="124"/>
      <c r="K30" s="70"/>
      <c r="L30" s="1" t="s">
        <v>360</v>
      </c>
      <c r="N30" s="27">
        <f>IF('Dairy GM'!E12-'Dairy GM'!I12&gt;0,0,'Dairy GM'!I12-'Dairy GM'!E12)</f>
        <v>22328.156074636907</v>
      </c>
      <c r="P30" s="27">
        <f>IF('Beef GM'!E10-'Beef GM'!I10&gt;0,0,'Beef GM'!I10-'Beef GM'!E10)</f>
        <v>0</v>
      </c>
      <c r="R30" s="27">
        <f>IF('Sheep GM'!E12-'Sheep GM'!I12&gt;0,0,'Sheep GM'!I12-'Sheep GM'!E12)</f>
        <v>1059.3909219004563</v>
      </c>
    </row>
    <row r="31" spans="2:18" x14ac:dyDescent="0.25">
      <c r="G31" s="124"/>
      <c r="H31" s="124"/>
      <c r="I31" s="124"/>
      <c r="K31" s="28"/>
    </row>
    <row r="32" spans="2:18" x14ac:dyDescent="0.25">
      <c r="G32" s="124"/>
      <c r="H32" s="124"/>
      <c r="I32" s="124"/>
      <c r="K32" s="28"/>
      <c r="L32" s="11" t="s">
        <v>419</v>
      </c>
      <c r="N32" s="89">
        <f>'Dairy GM'!G7</f>
        <v>-9.8277336898310239E-3</v>
      </c>
      <c r="P32" s="113">
        <f>'Beef GM'!G7</f>
        <v>0.49466121943102592</v>
      </c>
      <c r="R32" s="113">
        <f>'Sheep GM'!G7</f>
        <v>-0.12637922816278974</v>
      </c>
    </row>
    <row r="33" spans="12:12" x14ac:dyDescent="0.25">
      <c r="L33" s="1"/>
    </row>
    <row r="34" spans="12:12" x14ac:dyDescent="0.25">
      <c r="L3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ComboBox6">
          <controlPr defaultSize="0" autoLine="0" linkedCell="I8" listFillRange="List!F2:F3" r:id="rId5">
            <anchor moveWithCells="1">
              <from>
                <xdr:col>8</xdr:col>
                <xdr:colOff>0</xdr:colOff>
                <xdr:row>6</xdr:row>
                <xdr:rowOff>142875</xdr:rowOff>
              </from>
              <to>
                <xdr:col>9</xdr:col>
                <xdr:colOff>57150</xdr:colOff>
                <xdr:row>8</xdr:row>
                <xdr:rowOff>28575</xdr:rowOff>
              </to>
            </anchor>
          </controlPr>
        </control>
      </mc:Choice>
      <mc:Fallback>
        <control shapeId="1030" r:id="rId4" name="ComboBox6"/>
      </mc:Fallback>
    </mc:AlternateContent>
    <mc:AlternateContent xmlns:mc="http://schemas.openxmlformats.org/markup-compatibility/2006">
      <mc:Choice Requires="x14">
        <control shapeId="1029" r:id="rId6" name="ComboBox5">
          <controlPr defaultSize="0" autoLine="0" linkedCell="G8" listFillRange="List!E2:E8" r:id="rId7">
            <anchor moveWithCells="1">
              <from>
                <xdr:col>6</xdr:col>
                <xdr:colOff>0</xdr:colOff>
                <xdr:row>6</xdr:row>
                <xdr:rowOff>142875</xdr:rowOff>
              </from>
              <to>
                <xdr:col>7</xdr:col>
                <xdr:colOff>85725</xdr:colOff>
                <xdr:row>8</xdr:row>
                <xdr:rowOff>38100</xdr:rowOff>
              </to>
            </anchor>
          </controlPr>
        </control>
      </mc:Choice>
      <mc:Fallback>
        <control shapeId="1029" r:id="rId6" name="ComboBox5"/>
      </mc:Fallback>
    </mc:AlternateContent>
    <mc:AlternateContent xmlns:mc="http://schemas.openxmlformats.org/markup-compatibility/2006">
      <mc:Choice Requires="x14">
        <control shapeId="1028" r:id="rId8" name="ComboBox4">
          <controlPr defaultSize="0" autoLine="0" autoPict="0" linkedCell="E8" listFillRange="List!D2:D13" r:id="rId9">
            <anchor moveWithCells="1">
              <from>
                <xdr:col>3</xdr:col>
                <xdr:colOff>0</xdr:colOff>
                <xdr:row>6</xdr:row>
                <xdr:rowOff>142875</xdr:rowOff>
              </from>
              <to>
                <xdr:col>5</xdr:col>
                <xdr:colOff>85725</xdr:colOff>
                <xdr:row>8</xdr:row>
                <xdr:rowOff>28575</xdr:rowOff>
              </to>
            </anchor>
          </controlPr>
        </control>
      </mc:Choice>
      <mc:Fallback>
        <control shapeId="1028" r:id="rId8" name="ComboBox4"/>
      </mc:Fallback>
    </mc:AlternateContent>
    <mc:AlternateContent xmlns:mc="http://schemas.openxmlformats.org/markup-compatibility/2006">
      <mc:Choice Requires="x14">
        <control shapeId="1027" r:id="rId10" name="ComboBox3">
          <controlPr defaultSize="0" autoLine="0" autoPict="0" linkedCell="I6" listFillRange="List!C2:C18" r:id="rId11">
            <anchor moveWithCells="1">
              <from>
                <xdr:col>8</xdr:col>
                <xdr:colOff>0</xdr:colOff>
                <xdr:row>4</xdr:row>
                <xdr:rowOff>152400</xdr:rowOff>
              </from>
              <to>
                <xdr:col>9</xdr:col>
                <xdr:colOff>57150</xdr:colOff>
                <xdr:row>6</xdr:row>
                <xdr:rowOff>38100</xdr:rowOff>
              </to>
            </anchor>
          </controlPr>
        </control>
      </mc:Choice>
      <mc:Fallback>
        <control shapeId="1027" r:id="rId10" name="ComboBox3"/>
      </mc:Fallback>
    </mc:AlternateContent>
    <mc:AlternateContent xmlns:mc="http://schemas.openxmlformats.org/markup-compatibility/2006">
      <mc:Choice Requires="x14">
        <control shapeId="1026" r:id="rId12" name="ComboBox2">
          <controlPr defaultSize="0" autoLine="0" autoPict="0" linkedCell="G6" listFillRange="List!B2:B18" r:id="rId13">
            <anchor moveWithCells="1">
              <from>
                <xdr:col>5</xdr:col>
                <xdr:colOff>504825</xdr:colOff>
                <xdr:row>4</xdr:row>
                <xdr:rowOff>152400</xdr:rowOff>
              </from>
              <to>
                <xdr:col>7</xdr:col>
                <xdr:colOff>85725</xdr:colOff>
                <xdr:row>6</xdr:row>
                <xdr:rowOff>38100</xdr:rowOff>
              </to>
            </anchor>
          </controlPr>
        </control>
      </mc:Choice>
      <mc:Fallback>
        <control shapeId="1026" r:id="rId12" name="ComboBox2"/>
      </mc:Fallback>
    </mc:AlternateContent>
    <mc:AlternateContent xmlns:mc="http://schemas.openxmlformats.org/markup-compatibility/2006">
      <mc:Choice Requires="x14">
        <control shapeId="1025" r:id="rId14" name="ComboBox1">
          <controlPr defaultSize="0" autoLine="0" autoPict="0" linkedCell="E6" listFillRange="List!A2:A13" r:id="rId15">
            <anchor moveWithCells="1">
              <from>
                <xdr:col>4</xdr:col>
                <xdr:colOff>0</xdr:colOff>
                <xdr:row>4</xdr:row>
                <xdr:rowOff>152400</xdr:rowOff>
              </from>
              <to>
                <xdr:col>5</xdr:col>
                <xdr:colOff>85725</xdr:colOff>
                <xdr:row>6</xdr:row>
                <xdr:rowOff>57150</xdr:rowOff>
              </to>
            </anchor>
          </controlPr>
        </control>
      </mc:Choice>
      <mc:Fallback>
        <control shapeId="1025" r:id="rId14" name="ComboBox1"/>
      </mc:Fallback>
    </mc:AlternateContent>
    <mc:AlternateContent xmlns:mc="http://schemas.openxmlformats.org/markup-compatibility/2006">
      <mc:Choice Requires="x14">
        <control shapeId="1032" r:id="rId16" name="SpinButton1">
          <controlPr defaultSize="0" autoLine="0" linkedCell="E10" r:id="rId17">
            <anchor moveWithCells="1">
              <from>
                <xdr:col>4</xdr:col>
                <xdr:colOff>9525</xdr:colOff>
                <xdr:row>9</xdr:row>
                <xdr:rowOff>9525</xdr:rowOff>
              </from>
              <to>
                <xdr:col>4</xdr:col>
                <xdr:colOff>466725</xdr:colOff>
                <xdr:row>10</xdr:row>
                <xdr:rowOff>9525</xdr:rowOff>
              </to>
            </anchor>
          </controlPr>
        </control>
      </mc:Choice>
      <mc:Fallback>
        <control shapeId="1032" r:id="rId16" name="SpinButton1"/>
      </mc:Fallback>
    </mc:AlternateContent>
    <mc:AlternateContent xmlns:mc="http://schemas.openxmlformats.org/markup-compatibility/2006">
      <mc:Choice Requires="x14">
        <control shapeId="1033" r:id="rId18" name="SpinButton2">
          <controlPr defaultSize="0" autoLine="0" linkedCell="E12" r:id="rId17">
            <anchor moveWithCells="1">
              <from>
                <xdr:col>4</xdr:col>
                <xdr:colOff>9525</xdr:colOff>
                <xdr:row>11</xdr:row>
                <xdr:rowOff>9525</xdr:rowOff>
              </from>
              <to>
                <xdr:col>4</xdr:col>
                <xdr:colOff>466725</xdr:colOff>
                <xdr:row>12</xdr:row>
                <xdr:rowOff>9525</xdr:rowOff>
              </to>
            </anchor>
          </controlPr>
        </control>
      </mc:Choice>
      <mc:Fallback>
        <control shapeId="1033" r:id="rId18" name="SpinButton2"/>
      </mc:Fallback>
    </mc:AlternateContent>
    <mc:AlternateContent xmlns:mc="http://schemas.openxmlformats.org/markup-compatibility/2006">
      <mc:Choice Requires="x14">
        <control shapeId="1034" r:id="rId19" name="SpinButton3">
          <controlPr defaultSize="0" autoLine="0" linkedCell="E13" r:id="rId17">
            <anchor moveWithCells="1">
              <from>
                <xdr:col>4</xdr:col>
                <xdr:colOff>9525</xdr:colOff>
                <xdr:row>12</xdr:row>
                <xdr:rowOff>19050</xdr:rowOff>
              </from>
              <to>
                <xdr:col>4</xdr:col>
                <xdr:colOff>466725</xdr:colOff>
                <xdr:row>13</xdr:row>
                <xdr:rowOff>19050</xdr:rowOff>
              </to>
            </anchor>
          </controlPr>
        </control>
      </mc:Choice>
      <mc:Fallback>
        <control shapeId="1034" r:id="rId19" name="SpinButton3"/>
      </mc:Fallback>
    </mc:AlternateContent>
    <mc:AlternateContent xmlns:mc="http://schemas.openxmlformats.org/markup-compatibility/2006">
      <mc:Choice Requires="x14">
        <control shapeId="1035" r:id="rId20" name="SpinButton4">
          <controlPr defaultSize="0" autoLine="0" linkedCell="E15" r:id="rId17">
            <anchor moveWithCells="1">
              <from>
                <xdr:col>4</xdr:col>
                <xdr:colOff>9525</xdr:colOff>
                <xdr:row>14</xdr:row>
                <xdr:rowOff>9525</xdr:rowOff>
              </from>
              <to>
                <xdr:col>4</xdr:col>
                <xdr:colOff>466725</xdr:colOff>
                <xdr:row>15</xdr:row>
                <xdr:rowOff>9525</xdr:rowOff>
              </to>
            </anchor>
          </controlPr>
        </control>
      </mc:Choice>
      <mc:Fallback>
        <control shapeId="1035" r:id="rId20" name="SpinButton4"/>
      </mc:Fallback>
    </mc:AlternateContent>
    <mc:AlternateContent xmlns:mc="http://schemas.openxmlformats.org/markup-compatibility/2006">
      <mc:Choice Requires="x14">
        <control shapeId="1037" r:id="rId21" name="SpinButton7">
          <controlPr defaultSize="0" autoLine="0" linkedCell="E16" r:id="rId22">
            <anchor moveWithCells="1" sizeWithCells="1">
              <from>
                <xdr:col>4</xdr:col>
                <xdr:colOff>9525</xdr:colOff>
                <xdr:row>15</xdr:row>
                <xdr:rowOff>9525</xdr:rowOff>
              </from>
              <to>
                <xdr:col>4</xdr:col>
                <xdr:colOff>466725</xdr:colOff>
                <xdr:row>16</xdr:row>
                <xdr:rowOff>28575</xdr:rowOff>
              </to>
            </anchor>
          </controlPr>
        </control>
      </mc:Choice>
      <mc:Fallback>
        <control shapeId="1037" r:id="rId21" name="SpinButton7"/>
      </mc:Fallback>
    </mc:AlternateContent>
    <mc:AlternateContent xmlns:mc="http://schemas.openxmlformats.org/markup-compatibility/2006">
      <mc:Choice Requires="x14">
        <control shapeId="1038" r:id="rId23" name="SpinButton8">
          <controlPr defaultSize="0" autoLine="0" linkedCell="E18" r:id="rId17">
            <anchor moveWithCells="1" sizeWithCells="1">
              <from>
                <xdr:col>4</xdr:col>
                <xdr:colOff>9525</xdr:colOff>
                <xdr:row>17</xdr:row>
                <xdr:rowOff>9525</xdr:rowOff>
              </from>
              <to>
                <xdr:col>4</xdr:col>
                <xdr:colOff>466725</xdr:colOff>
                <xdr:row>18</xdr:row>
                <xdr:rowOff>28575</xdr:rowOff>
              </to>
            </anchor>
          </controlPr>
        </control>
      </mc:Choice>
      <mc:Fallback>
        <control shapeId="1038" r:id="rId23" name="SpinButton8"/>
      </mc:Fallback>
    </mc:AlternateContent>
    <mc:AlternateContent xmlns:mc="http://schemas.openxmlformats.org/markup-compatibility/2006">
      <mc:Choice Requires="x14">
        <control shapeId="1040" r:id="rId24" name="SpinButton10">
          <controlPr defaultSize="0" autoLine="0" linkedCell="E20" r:id="rId17">
            <anchor moveWithCells="1" sizeWithCells="1">
              <from>
                <xdr:col>4</xdr:col>
                <xdr:colOff>9525</xdr:colOff>
                <xdr:row>19</xdr:row>
                <xdr:rowOff>9525</xdr:rowOff>
              </from>
              <to>
                <xdr:col>4</xdr:col>
                <xdr:colOff>466725</xdr:colOff>
                <xdr:row>20</xdr:row>
                <xdr:rowOff>28575</xdr:rowOff>
              </to>
            </anchor>
          </controlPr>
        </control>
      </mc:Choice>
      <mc:Fallback>
        <control shapeId="1040" r:id="rId24" name="SpinButton10"/>
      </mc:Fallback>
    </mc:AlternateContent>
    <mc:AlternateContent xmlns:mc="http://schemas.openxmlformats.org/markup-compatibility/2006">
      <mc:Choice Requires="x14">
        <control shapeId="1041" r:id="rId25" name="SpinButton11">
          <controlPr defaultSize="0" autoLine="0" linkedCell="E21" r:id="rId17">
            <anchor moveWithCells="1" sizeWithCells="1">
              <from>
                <xdr:col>4</xdr:col>
                <xdr:colOff>9525</xdr:colOff>
                <xdr:row>20</xdr:row>
                <xdr:rowOff>19050</xdr:rowOff>
              </from>
              <to>
                <xdr:col>4</xdr:col>
                <xdr:colOff>466725</xdr:colOff>
                <xdr:row>21</xdr:row>
                <xdr:rowOff>38100</xdr:rowOff>
              </to>
            </anchor>
          </controlPr>
        </control>
      </mc:Choice>
      <mc:Fallback>
        <control shapeId="1041" r:id="rId25" name="SpinButton11"/>
      </mc:Fallback>
    </mc:AlternateContent>
    <mc:AlternateContent xmlns:mc="http://schemas.openxmlformats.org/markup-compatibility/2006">
      <mc:Choice Requires="x14">
        <control shapeId="1042" r:id="rId26" name="SpinButton12">
          <controlPr defaultSize="0" autoLine="0" linkedCell="E22" r:id="rId17">
            <anchor moveWithCells="1" sizeWithCells="1">
              <from>
                <xdr:col>4</xdr:col>
                <xdr:colOff>9525</xdr:colOff>
                <xdr:row>21</xdr:row>
                <xdr:rowOff>28575</xdr:rowOff>
              </from>
              <to>
                <xdr:col>4</xdr:col>
                <xdr:colOff>466725</xdr:colOff>
                <xdr:row>22</xdr:row>
                <xdr:rowOff>47625</xdr:rowOff>
              </to>
            </anchor>
          </controlPr>
        </control>
      </mc:Choice>
      <mc:Fallback>
        <control shapeId="1042" r:id="rId26" name="SpinButton12"/>
      </mc:Fallback>
    </mc:AlternateContent>
    <mc:AlternateContent xmlns:mc="http://schemas.openxmlformats.org/markup-compatibility/2006">
      <mc:Choice Requires="x14">
        <control shapeId="1043" r:id="rId27" name="SpinButton13">
          <controlPr defaultSize="0" autoLine="0" linkedCell="E25" r:id="rId22">
            <anchor moveWithCells="1" sizeWithCells="1">
              <from>
                <xdr:col>4</xdr:col>
                <xdr:colOff>9525</xdr:colOff>
                <xdr:row>24</xdr:row>
                <xdr:rowOff>9525</xdr:rowOff>
              </from>
              <to>
                <xdr:col>4</xdr:col>
                <xdr:colOff>466725</xdr:colOff>
                <xdr:row>25</xdr:row>
                <xdr:rowOff>28575</xdr:rowOff>
              </to>
            </anchor>
          </controlPr>
        </control>
      </mc:Choice>
      <mc:Fallback>
        <control shapeId="1043" r:id="rId27" name="SpinButton13"/>
      </mc:Fallback>
    </mc:AlternateContent>
    <mc:AlternateContent xmlns:mc="http://schemas.openxmlformats.org/markup-compatibility/2006">
      <mc:Choice Requires="x14">
        <control shapeId="1045" r:id="rId28" name="SpinButton6">
          <controlPr defaultSize="0" autoLine="0" linkedCell="G10" r:id="rId17">
            <anchor moveWithCells="1">
              <from>
                <xdr:col>6</xdr:col>
                <xdr:colOff>9525</xdr:colOff>
                <xdr:row>9</xdr:row>
                <xdr:rowOff>9525</xdr:rowOff>
              </from>
              <to>
                <xdr:col>6</xdr:col>
                <xdr:colOff>466725</xdr:colOff>
                <xdr:row>10</xdr:row>
                <xdr:rowOff>9525</xdr:rowOff>
              </to>
            </anchor>
          </controlPr>
        </control>
      </mc:Choice>
      <mc:Fallback>
        <control shapeId="1045" r:id="rId28" name="SpinButton6"/>
      </mc:Fallback>
    </mc:AlternateContent>
    <mc:AlternateContent xmlns:mc="http://schemas.openxmlformats.org/markup-compatibility/2006">
      <mc:Choice Requires="x14">
        <control shapeId="1046" r:id="rId29" name="SpinButton14">
          <controlPr defaultSize="0" autoLine="0" linkedCell="G12" r:id="rId17">
            <anchor moveWithCells="1">
              <from>
                <xdr:col>6</xdr:col>
                <xdr:colOff>9525</xdr:colOff>
                <xdr:row>11</xdr:row>
                <xdr:rowOff>9525</xdr:rowOff>
              </from>
              <to>
                <xdr:col>6</xdr:col>
                <xdr:colOff>466725</xdr:colOff>
                <xdr:row>12</xdr:row>
                <xdr:rowOff>9525</xdr:rowOff>
              </to>
            </anchor>
          </controlPr>
        </control>
      </mc:Choice>
      <mc:Fallback>
        <control shapeId="1046" r:id="rId29" name="SpinButton14"/>
      </mc:Fallback>
    </mc:AlternateContent>
    <mc:AlternateContent xmlns:mc="http://schemas.openxmlformats.org/markup-compatibility/2006">
      <mc:Choice Requires="x14">
        <control shapeId="1047" r:id="rId30" name="SpinButton15">
          <controlPr defaultSize="0" autoLine="0" linkedCell="G13" r:id="rId17">
            <anchor moveWithCells="1">
              <from>
                <xdr:col>6</xdr:col>
                <xdr:colOff>9525</xdr:colOff>
                <xdr:row>12</xdr:row>
                <xdr:rowOff>9525</xdr:rowOff>
              </from>
              <to>
                <xdr:col>6</xdr:col>
                <xdr:colOff>466725</xdr:colOff>
                <xdr:row>13</xdr:row>
                <xdr:rowOff>9525</xdr:rowOff>
              </to>
            </anchor>
          </controlPr>
        </control>
      </mc:Choice>
      <mc:Fallback>
        <control shapeId="1047" r:id="rId30" name="SpinButton15"/>
      </mc:Fallback>
    </mc:AlternateContent>
    <mc:AlternateContent xmlns:mc="http://schemas.openxmlformats.org/markup-compatibility/2006">
      <mc:Choice Requires="x14">
        <control shapeId="1048" r:id="rId31" name="SpinButton16">
          <controlPr defaultSize="0" autoLine="0" linkedCell="G15" r:id="rId17">
            <anchor moveWithCells="1">
              <from>
                <xdr:col>6</xdr:col>
                <xdr:colOff>9525</xdr:colOff>
                <xdr:row>14</xdr:row>
                <xdr:rowOff>9525</xdr:rowOff>
              </from>
              <to>
                <xdr:col>6</xdr:col>
                <xdr:colOff>466725</xdr:colOff>
                <xdr:row>15</xdr:row>
                <xdr:rowOff>9525</xdr:rowOff>
              </to>
            </anchor>
          </controlPr>
        </control>
      </mc:Choice>
      <mc:Fallback>
        <control shapeId="1048" r:id="rId31" name="SpinButton16"/>
      </mc:Fallback>
    </mc:AlternateContent>
    <mc:AlternateContent xmlns:mc="http://schemas.openxmlformats.org/markup-compatibility/2006">
      <mc:Choice Requires="x14">
        <control shapeId="1049" r:id="rId32" name="SpinButton17">
          <controlPr defaultSize="0" autoLine="0" linkedCell="G16" r:id="rId22">
            <anchor moveWithCells="1" sizeWithCells="1">
              <from>
                <xdr:col>6</xdr:col>
                <xdr:colOff>9525</xdr:colOff>
                <xdr:row>15</xdr:row>
                <xdr:rowOff>9525</xdr:rowOff>
              </from>
              <to>
                <xdr:col>6</xdr:col>
                <xdr:colOff>466725</xdr:colOff>
                <xdr:row>16</xdr:row>
                <xdr:rowOff>28575</xdr:rowOff>
              </to>
            </anchor>
          </controlPr>
        </control>
      </mc:Choice>
      <mc:Fallback>
        <control shapeId="1049" r:id="rId32" name="SpinButton17"/>
      </mc:Fallback>
    </mc:AlternateContent>
    <mc:AlternateContent xmlns:mc="http://schemas.openxmlformats.org/markup-compatibility/2006">
      <mc:Choice Requires="x14">
        <control shapeId="1050" r:id="rId33" name="SpinButton18">
          <controlPr defaultSize="0" autoLine="0" linkedCell="G18" r:id="rId17">
            <anchor moveWithCells="1" sizeWithCells="1">
              <from>
                <xdr:col>6</xdr:col>
                <xdr:colOff>9525</xdr:colOff>
                <xdr:row>17</xdr:row>
                <xdr:rowOff>9525</xdr:rowOff>
              </from>
              <to>
                <xdr:col>6</xdr:col>
                <xdr:colOff>466725</xdr:colOff>
                <xdr:row>18</xdr:row>
                <xdr:rowOff>28575</xdr:rowOff>
              </to>
            </anchor>
          </controlPr>
        </control>
      </mc:Choice>
      <mc:Fallback>
        <control shapeId="1050" r:id="rId33" name="SpinButton18"/>
      </mc:Fallback>
    </mc:AlternateContent>
    <mc:AlternateContent xmlns:mc="http://schemas.openxmlformats.org/markup-compatibility/2006">
      <mc:Choice Requires="x14">
        <control shapeId="1052" r:id="rId34" name="SpinButton20">
          <controlPr defaultSize="0" autoLine="0" linkedCell="G20" r:id="rId17">
            <anchor moveWithCells="1" sizeWithCells="1">
              <from>
                <xdr:col>6</xdr:col>
                <xdr:colOff>9525</xdr:colOff>
                <xdr:row>19</xdr:row>
                <xdr:rowOff>9525</xdr:rowOff>
              </from>
              <to>
                <xdr:col>6</xdr:col>
                <xdr:colOff>466725</xdr:colOff>
                <xdr:row>20</xdr:row>
                <xdr:rowOff>28575</xdr:rowOff>
              </to>
            </anchor>
          </controlPr>
        </control>
      </mc:Choice>
      <mc:Fallback>
        <control shapeId="1052" r:id="rId34" name="SpinButton20"/>
      </mc:Fallback>
    </mc:AlternateContent>
    <mc:AlternateContent xmlns:mc="http://schemas.openxmlformats.org/markup-compatibility/2006">
      <mc:Choice Requires="x14">
        <control shapeId="1053" r:id="rId35" name="SpinButton21">
          <controlPr defaultSize="0" autoLine="0" linkedCell="G21" r:id="rId17">
            <anchor moveWithCells="1" sizeWithCells="1">
              <from>
                <xdr:col>6</xdr:col>
                <xdr:colOff>9525</xdr:colOff>
                <xdr:row>20</xdr:row>
                <xdr:rowOff>19050</xdr:rowOff>
              </from>
              <to>
                <xdr:col>6</xdr:col>
                <xdr:colOff>466725</xdr:colOff>
                <xdr:row>21</xdr:row>
                <xdr:rowOff>38100</xdr:rowOff>
              </to>
            </anchor>
          </controlPr>
        </control>
      </mc:Choice>
      <mc:Fallback>
        <control shapeId="1053" r:id="rId35" name="SpinButton21"/>
      </mc:Fallback>
    </mc:AlternateContent>
    <mc:AlternateContent xmlns:mc="http://schemas.openxmlformats.org/markup-compatibility/2006">
      <mc:Choice Requires="x14">
        <control shapeId="1054" r:id="rId36" name="SpinButton22">
          <controlPr defaultSize="0" autoLine="0" linkedCell="G22" r:id="rId17">
            <anchor moveWithCells="1" sizeWithCells="1">
              <from>
                <xdr:col>6</xdr:col>
                <xdr:colOff>9525</xdr:colOff>
                <xdr:row>21</xdr:row>
                <xdr:rowOff>28575</xdr:rowOff>
              </from>
              <to>
                <xdr:col>6</xdr:col>
                <xdr:colOff>466725</xdr:colOff>
                <xdr:row>22</xdr:row>
                <xdr:rowOff>47625</xdr:rowOff>
              </to>
            </anchor>
          </controlPr>
        </control>
      </mc:Choice>
      <mc:Fallback>
        <control shapeId="1054" r:id="rId36" name="SpinButton22"/>
      </mc:Fallback>
    </mc:AlternateContent>
    <mc:AlternateContent xmlns:mc="http://schemas.openxmlformats.org/markup-compatibility/2006">
      <mc:Choice Requires="x14">
        <control shapeId="1055" r:id="rId37" name="SpinButton23">
          <controlPr defaultSize="0" autoLine="0" linkedCell="G25" r:id="rId17">
            <anchor moveWithCells="1" sizeWithCells="1">
              <from>
                <xdr:col>6</xdr:col>
                <xdr:colOff>9525</xdr:colOff>
                <xdr:row>24</xdr:row>
                <xdr:rowOff>9525</xdr:rowOff>
              </from>
              <to>
                <xdr:col>6</xdr:col>
                <xdr:colOff>466725</xdr:colOff>
                <xdr:row>25</xdr:row>
                <xdr:rowOff>28575</xdr:rowOff>
              </to>
            </anchor>
          </controlPr>
        </control>
      </mc:Choice>
      <mc:Fallback>
        <control shapeId="1055" r:id="rId37" name="SpinButton23"/>
      </mc:Fallback>
    </mc:AlternateContent>
    <mc:AlternateContent xmlns:mc="http://schemas.openxmlformats.org/markup-compatibility/2006">
      <mc:Choice Requires="x14">
        <control shapeId="1057" r:id="rId38" name="SpinButton25">
          <controlPr defaultSize="0" autoLine="0" linkedCell="I10" r:id="rId39">
            <anchor moveWithCells="1">
              <from>
                <xdr:col>8</xdr:col>
                <xdr:colOff>9525</xdr:colOff>
                <xdr:row>9</xdr:row>
                <xdr:rowOff>9525</xdr:rowOff>
              </from>
              <to>
                <xdr:col>8</xdr:col>
                <xdr:colOff>447675</xdr:colOff>
                <xdr:row>10</xdr:row>
                <xdr:rowOff>9525</xdr:rowOff>
              </to>
            </anchor>
          </controlPr>
        </control>
      </mc:Choice>
      <mc:Fallback>
        <control shapeId="1057" r:id="rId38" name="SpinButton25"/>
      </mc:Fallback>
    </mc:AlternateContent>
    <mc:AlternateContent xmlns:mc="http://schemas.openxmlformats.org/markup-compatibility/2006">
      <mc:Choice Requires="x14">
        <control shapeId="1058" r:id="rId40" name="SpinButton26">
          <controlPr defaultSize="0" autoLine="0" linkedCell="I12" r:id="rId41">
            <anchor moveWithCells="1">
              <from>
                <xdr:col>8</xdr:col>
                <xdr:colOff>9525</xdr:colOff>
                <xdr:row>11</xdr:row>
                <xdr:rowOff>9525</xdr:rowOff>
              </from>
              <to>
                <xdr:col>8</xdr:col>
                <xdr:colOff>447675</xdr:colOff>
                <xdr:row>12</xdr:row>
                <xdr:rowOff>0</xdr:rowOff>
              </to>
            </anchor>
          </controlPr>
        </control>
      </mc:Choice>
      <mc:Fallback>
        <control shapeId="1058" r:id="rId40" name="SpinButton26"/>
      </mc:Fallback>
    </mc:AlternateContent>
    <mc:AlternateContent xmlns:mc="http://schemas.openxmlformats.org/markup-compatibility/2006">
      <mc:Choice Requires="x14">
        <control shapeId="1059" r:id="rId42" name="SpinButton27">
          <controlPr defaultSize="0" autoLine="0" linkedCell="I13" r:id="rId39">
            <anchor moveWithCells="1">
              <from>
                <xdr:col>8</xdr:col>
                <xdr:colOff>9525</xdr:colOff>
                <xdr:row>12</xdr:row>
                <xdr:rowOff>19050</xdr:rowOff>
              </from>
              <to>
                <xdr:col>8</xdr:col>
                <xdr:colOff>447675</xdr:colOff>
                <xdr:row>13</xdr:row>
                <xdr:rowOff>19050</xdr:rowOff>
              </to>
            </anchor>
          </controlPr>
        </control>
      </mc:Choice>
      <mc:Fallback>
        <control shapeId="1059" r:id="rId42" name="SpinButton27"/>
      </mc:Fallback>
    </mc:AlternateContent>
    <mc:AlternateContent xmlns:mc="http://schemas.openxmlformats.org/markup-compatibility/2006">
      <mc:Choice Requires="x14">
        <control shapeId="1060" r:id="rId43" name="SpinButton28">
          <controlPr defaultSize="0" autoLine="0" autoPict="0" linkedCell="I15" r:id="rId39">
            <anchor moveWithCells="1">
              <from>
                <xdr:col>8</xdr:col>
                <xdr:colOff>9525</xdr:colOff>
                <xdr:row>14</xdr:row>
                <xdr:rowOff>9525</xdr:rowOff>
              </from>
              <to>
                <xdr:col>8</xdr:col>
                <xdr:colOff>447675</xdr:colOff>
                <xdr:row>15</xdr:row>
                <xdr:rowOff>9525</xdr:rowOff>
              </to>
            </anchor>
          </controlPr>
        </control>
      </mc:Choice>
      <mc:Fallback>
        <control shapeId="1060" r:id="rId43" name="SpinButton28"/>
      </mc:Fallback>
    </mc:AlternateContent>
    <mc:AlternateContent xmlns:mc="http://schemas.openxmlformats.org/markup-compatibility/2006">
      <mc:Choice Requires="x14">
        <control shapeId="1061" r:id="rId44" name="SpinButton29">
          <controlPr defaultSize="0" autoLine="0" linkedCell="I16" r:id="rId45">
            <anchor moveWithCells="1" sizeWithCells="1">
              <from>
                <xdr:col>8</xdr:col>
                <xdr:colOff>9525</xdr:colOff>
                <xdr:row>15</xdr:row>
                <xdr:rowOff>9525</xdr:rowOff>
              </from>
              <to>
                <xdr:col>8</xdr:col>
                <xdr:colOff>447675</xdr:colOff>
                <xdr:row>16</xdr:row>
                <xdr:rowOff>28575</xdr:rowOff>
              </to>
            </anchor>
          </controlPr>
        </control>
      </mc:Choice>
      <mc:Fallback>
        <control shapeId="1061" r:id="rId44" name="SpinButton29"/>
      </mc:Fallback>
    </mc:AlternateContent>
    <mc:AlternateContent xmlns:mc="http://schemas.openxmlformats.org/markup-compatibility/2006">
      <mc:Choice Requires="x14">
        <control shapeId="1062" r:id="rId46" name="SpinButton30">
          <controlPr defaultSize="0" autoLine="0" autoPict="0" linkedCell="I18" r:id="rId39">
            <anchor moveWithCells="1" sizeWithCells="1">
              <from>
                <xdr:col>8</xdr:col>
                <xdr:colOff>9525</xdr:colOff>
                <xdr:row>17</xdr:row>
                <xdr:rowOff>9525</xdr:rowOff>
              </from>
              <to>
                <xdr:col>8</xdr:col>
                <xdr:colOff>447675</xdr:colOff>
                <xdr:row>18</xdr:row>
                <xdr:rowOff>28575</xdr:rowOff>
              </to>
            </anchor>
          </controlPr>
        </control>
      </mc:Choice>
      <mc:Fallback>
        <control shapeId="1062" r:id="rId46" name="SpinButton30"/>
      </mc:Fallback>
    </mc:AlternateContent>
    <mc:AlternateContent xmlns:mc="http://schemas.openxmlformats.org/markup-compatibility/2006">
      <mc:Choice Requires="x14">
        <control shapeId="1064" r:id="rId47" name="SpinButton32">
          <controlPr defaultSize="0" autoLine="0" autoPict="0" linkedCell="I20" r:id="rId39">
            <anchor moveWithCells="1" sizeWithCells="1">
              <from>
                <xdr:col>8</xdr:col>
                <xdr:colOff>9525</xdr:colOff>
                <xdr:row>19</xdr:row>
                <xdr:rowOff>9525</xdr:rowOff>
              </from>
              <to>
                <xdr:col>8</xdr:col>
                <xdr:colOff>447675</xdr:colOff>
                <xdr:row>20</xdr:row>
                <xdr:rowOff>28575</xdr:rowOff>
              </to>
            </anchor>
          </controlPr>
        </control>
      </mc:Choice>
      <mc:Fallback>
        <control shapeId="1064" r:id="rId47" name="SpinButton32"/>
      </mc:Fallback>
    </mc:AlternateContent>
    <mc:AlternateContent xmlns:mc="http://schemas.openxmlformats.org/markup-compatibility/2006">
      <mc:Choice Requires="x14">
        <control shapeId="1065" r:id="rId48" name="SpinButton33">
          <controlPr defaultSize="0" autoLine="0" autoPict="0" linkedCell="I21" r:id="rId39">
            <anchor moveWithCells="1" sizeWithCells="1">
              <from>
                <xdr:col>8</xdr:col>
                <xdr:colOff>9525</xdr:colOff>
                <xdr:row>20</xdr:row>
                <xdr:rowOff>28575</xdr:rowOff>
              </from>
              <to>
                <xdr:col>8</xdr:col>
                <xdr:colOff>447675</xdr:colOff>
                <xdr:row>21</xdr:row>
                <xdr:rowOff>47625</xdr:rowOff>
              </to>
            </anchor>
          </controlPr>
        </control>
      </mc:Choice>
      <mc:Fallback>
        <control shapeId="1065" r:id="rId48" name="SpinButton33"/>
      </mc:Fallback>
    </mc:AlternateContent>
    <mc:AlternateContent xmlns:mc="http://schemas.openxmlformats.org/markup-compatibility/2006">
      <mc:Choice Requires="x14">
        <control shapeId="1066" r:id="rId49" name="SpinButton34">
          <controlPr defaultSize="0" autoLine="0" autoPict="0" linkedCell="I22" r:id="rId39">
            <anchor moveWithCells="1" sizeWithCells="1">
              <from>
                <xdr:col>8</xdr:col>
                <xdr:colOff>9525</xdr:colOff>
                <xdr:row>21</xdr:row>
                <xdr:rowOff>47625</xdr:rowOff>
              </from>
              <to>
                <xdr:col>8</xdr:col>
                <xdr:colOff>447675</xdr:colOff>
                <xdr:row>22</xdr:row>
                <xdr:rowOff>66675</xdr:rowOff>
              </to>
            </anchor>
          </controlPr>
        </control>
      </mc:Choice>
      <mc:Fallback>
        <control shapeId="1066" r:id="rId49" name="SpinButton34"/>
      </mc:Fallback>
    </mc:AlternateContent>
    <mc:AlternateContent xmlns:mc="http://schemas.openxmlformats.org/markup-compatibility/2006">
      <mc:Choice Requires="x14">
        <control shapeId="1067" r:id="rId50" name="SpinButton35">
          <controlPr defaultSize="0" autoLine="0" autoPict="0" linkedCell="I25" r:id="rId39">
            <anchor moveWithCells="1" sizeWithCells="1">
              <from>
                <xdr:col>8</xdr:col>
                <xdr:colOff>9525</xdr:colOff>
                <xdr:row>24</xdr:row>
                <xdr:rowOff>9525</xdr:rowOff>
              </from>
              <to>
                <xdr:col>8</xdr:col>
                <xdr:colOff>447675</xdr:colOff>
                <xdr:row>25</xdr:row>
                <xdr:rowOff>28575</xdr:rowOff>
              </to>
            </anchor>
          </controlPr>
        </control>
      </mc:Choice>
      <mc:Fallback>
        <control shapeId="1067" r:id="rId50" name="SpinButton35"/>
      </mc:Fallback>
    </mc:AlternateContent>
    <mc:AlternateContent xmlns:mc="http://schemas.openxmlformats.org/markup-compatibility/2006">
      <mc:Choice Requires="x14">
        <control shapeId="1069" r:id="rId51" name="SpinButton5">
          <controlPr defaultSize="0" autoLine="0" linkedCell="E24" r:id="rId22">
            <anchor moveWithCells="1" sizeWithCells="1">
              <from>
                <xdr:col>4</xdr:col>
                <xdr:colOff>9525</xdr:colOff>
                <xdr:row>23</xdr:row>
                <xdr:rowOff>9525</xdr:rowOff>
              </from>
              <to>
                <xdr:col>4</xdr:col>
                <xdr:colOff>466725</xdr:colOff>
                <xdr:row>24</xdr:row>
                <xdr:rowOff>28575</xdr:rowOff>
              </to>
            </anchor>
          </controlPr>
        </control>
      </mc:Choice>
      <mc:Fallback>
        <control shapeId="1069" r:id="rId51" name="SpinButton5"/>
      </mc:Fallback>
    </mc:AlternateContent>
    <mc:AlternateContent xmlns:mc="http://schemas.openxmlformats.org/markup-compatibility/2006">
      <mc:Choice Requires="x14">
        <control shapeId="1070" r:id="rId52" name="SpinButton24">
          <controlPr defaultSize="0" autoLine="0" linkedCell="G24" r:id="rId22">
            <anchor moveWithCells="1" sizeWithCells="1">
              <from>
                <xdr:col>6</xdr:col>
                <xdr:colOff>9525</xdr:colOff>
                <xdr:row>23</xdr:row>
                <xdr:rowOff>9525</xdr:rowOff>
              </from>
              <to>
                <xdr:col>6</xdr:col>
                <xdr:colOff>466725</xdr:colOff>
                <xdr:row>24</xdr:row>
                <xdr:rowOff>28575</xdr:rowOff>
              </to>
            </anchor>
          </controlPr>
        </control>
      </mc:Choice>
      <mc:Fallback>
        <control shapeId="1070" r:id="rId52" name="SpinButton24"/>
      </mc:Fallback>
    </mc:AlternateContent>
    <mc:AlternateContent xmlns:mc="http://schemas.openxmlformats.org/markup-compatibility/2006">
      <mc:Choice Requires="x14">
        <control shapeId="1071" r:id="rId53" name="SpinButton36">
          <controlPr defaultSize="0" autoLine="0" linkedCell="I24" r:id="rId22">
            <anchor moveWithCells="1" sizeWithCells="1">
              <from>
                <xdr:col>8</xdr:col>
                <xdr:colOff>9525</xdr:colOff>
                <xdr:row>23</xdr:row>
                <xdr:rowOff>9525</xdr:rowOff>
              </from>
              <to>
                <xdr:col>8</xdr:col>
                <xdr:colOff>466725</xdr:colOff>
                <xdr:row>24</xdr:row>
                <xdr:rowOff>28575</xdr:rowOff>
              </to>
            </anchor>
          </controlPr>
        </control>
      </mc:Choice>
      <mc:Fallback>
        <control shapeId="1071" r:id="rId53" name="SpinButton3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187A6-DFB1-4BE4-92E8-D12FE055BA5E}">
  <sheetPr codeName="Sheet3"/>
  <dimension ref="B2:T131"/>
  <sheetViews>
    <sheetView workbookViewId="0">
      <selection activeCell="E18" sqref="E18"/>
    </sheetView>
  </sheetViews>
  <sheetFormatPr defaultColWidth="9.140625" defaultRowHeight="15" x14ac:dyDescent="0.25"/>
  <cols>
    <col min="1" max="1" width="2.7109375" style="1" customWidth="1"/>
    <col min="2" max="2" width="51.5703125" style="1" bestFit="1" customWidth="1"/>
    <col min="3" max="3" width="22.7109375" style="1" customWidth="1"/>
    <col min="4" max="4" width="2" style="1" customWidth="1"/>
    <col min="5" max="5" width="16.140625" style="1" bestFit="1" customWidth="1"/>
    <col min="6" max="6" width="32.7109375" style="1" customWidth="1"/>
    <col min="7" max="7" width="13.5703125" style="92" customWidth="1"/>
    <col min="8" max="8" width="2" style="1" customWidth="1"/>
    <col min="9" max="9" width="16.140625" style="1" bestFit="1" customWidth="1"/>
    <col min="10" max="10" width="20.85546875" style="1" customWidth="1"/>
    <col min="11" max="11" width="16.140625" style="1" bestFit="1" customWidth="1"/>
    <col min="12" max="12" width="21.140625" style="1" customWidth="1"/>
    <col min="13" max="13" width="16.140625" style="1" bestFit="1" customWidth="1"/>
    <col min="14" max="14" width="21.140625" style="1" customWidth="1"/>
    <col min="15" max="15" width="11.5703125" style="1" bestFit="1" customWidth="1"/>
    <col min="16" max="17" width="9.140625" style="1"/>
    <col min="18" max="18" width="10.5703125" style="1" bestFit="1" customWidth="1"/>
    <col min="19" max="19" width="9.140625" style="1"/>
    <col min="20" max="20" width="10.5703125" style="1" bestFit="1" customWidth="1"/>
    <col min="21" max="16384" width="9.140625" style="1"/>
  </cols>
  <sheetData>
    <row r="2" spans="2:15" x14ac:dyDescent="0.25">
      <c r="B2" s="21" t="str">
        <f>'Partial Budget'!E6</f>
        <v>National average</v>
      </c>
      <c r="C2" s="21"/>
      <c r="D2" s="21"/>
      <c r="E2" s="129" t="s">
        <v>61</v>
      </c>
      <c r="F2" s="129"/>
      <c r="G2" s="82"/>
      <c r="H2" s="21"/>
      <c r="I2" s="130" t="s">
        <v>63</v>
      </c>
      <c r="J2" s="130"/>
      <c r="K2" s="130"/>
      <c r="L2" s="130"/>
      <c r="M2" s="130"/>
      <c r="N2" s="130"/>
    </row>
    <row r="3" spans="2:15" x14ac:dyDescent="0.25">
      <c r="B3" s="21" t="s">
        <v>56</v>
      </c>
      <c r="C3" s="21" t="s">
        <v>62</v>
      </c>
      <c r="D3" s="21"/>
      <c r="E3" s="39" t="s">
        <v>90</v>
      </c>
      <c r="F3" s="39"/>
      <c r="G3" s="83" t="s">
        <v>419</v>
      </c>
      <c r="H3" s="21"/>
      <c r="I3" s="39" t="s">
        <v>90</v>
      </c>
      <c r="J3" s="21"/>
      <c r="K3" s="39" t="s">
        <v>75</v>
      </c>
      <c r="L3" s="39"/>
      <c r="M3" s="39" t="s">
        <v>74</v>
      </c>
      <c r="N3" s="39"/>
    </row>
    <row r="4" spans="2:15" x14ac:dyDescent="0.25">
      <c r="B4" s="2"/>
      <c r="F4" s="11"/>
      <c r="G4" s="84"/>
      <c r="L4" s="17"/>
      <c r="N4" s="17"/>
    </row>
    <row r="5" spans="2:15" x14ac:dyDescent="0.25">
      <c r="B5" s="55" t="s">
        <v>45</v>
      </c>
      <c r="C5" s="56"/>
      <c r="D5" s="56"/>
      <c r="E5" s="56"/>
      <c r="F5" s="57"/>
      <c r="G5" s="85"/>
      <c r="H5" s="56"/>
      <c r="I5" s="56"/>
      <c r="J5" s="56"/>
      <c r="K5" s="56"/>
      <c r="L5" s="56"/>
      <c r="M5" s="56"/>
      <c r="N5" s="56"/>
    </row>
    <row r="6" spans="2:15" x14ac:dyDescent="0.25">
      <c r="B6" s="2"/>
      <c r="F6" s="16"/>
      <c r="G6" s="86"/>
    </row>
    <row r="7" spans="2:15" x14ac:dyDescent="0.25">
      <c r="B7" s="2" t="s">
        <v>406</v>
      </c>
      <c r="C7" s="1" t="s">
        <v>12</v>
      </c>
      <c r="D7" s="16"/>
      <c r="E7" s="26">
        <f>E9-E23+E30</f>
        <v>386989.59950141725</v>
      </c>
      <c r="F7" s="17" t="str">
        <f ca="1">_xlfn.FORMULATEXT(E7)</f>
        <v>=E9-E23+E30</v>
      </c>
      <c r="G7" s="86">
        <f>(E7-'Dairy parameter'!C38)/'Dairy parameter'!C38</f>
        <v>-9.8277336898310239E-3</v>
      </c>
      <c r="H7" s="16"/>
      <c r="I7" s="26">
        <f>I9-I23+I30</f>
        <v>312654.19270936435</v>
      </c>
      <c r="J7" s="17" t="str">
        <f ca="1">_xlfn.FORMULATEXT(I7)</f>
        <v>=I9-I23+I30</v>
      </c>
      <c r="K7" s="16"/>
      <c r="L7" s="16"/>
      <c r="M7" s="16"/>
      <c r="N7" s="16"/>
    </row>
    <row r="8" spans="2:15" x14ac:dyDescent="0.25">
      <c r="E8" s="90"/>
      <c r="F8" s="17"/>
      <c r="G8" s="86"/>
      <c r="I8" s="90"/>
      <c r="K8" s="90"/>
      <c r="M8" s="90"/>
    </row>
    <row r="9" spans="2:15" x14ac:dyDescent="0.25">
      <c r="B9" s="2" t="s">
        <v>404</v>
      </c>
      <c r="C9" s="1" t="s">
        <v>12</v>
      </c>
      <c r="E9" s="26">
        <f>SUM(E10:E11)</f>
        <v>1316198.9881290775</v>
      </c>
      <c r="F9" s="17" t="str">
        <f t="shared" ref="F9:F15" ca="1" si="0">_xlfn.FORMULATEXT(E9)</f>
        <v>=SUM(E10:E11)</v>
      </c>
      <c r="G9" s="86">
        <f>(E9-'Dairy parameter'!C37)/'Dairy parameter'!C37</f>
        <v>2.3688412524247766E-2</v>
      </c>
      <c r="I9" s="26">
        <f>SUM(I10:I11)</f>
        <v>1224004.8899546519</v>
      </c>
      <c r="J9" s="17" t="str">
        <f t="shared" ref="J9:J15" ca="1" si="1">_xlfn.FORMULATEXT(I9)</f>
        <v>=SUM(I10:I11)</v>
      </c>
      <c r="K9" s="90"/>
      <c r="L9" s="90"/>
      <c r="M9" s="90"/>
      <c r="N9" s="90"/>
    </row>
    <row r="10" spans="2:15" x14ac:dyDescent="0.25">
      <c r="B10" s="1" t="s">
        <v>9</v>
      </c>
      <c r="C10" s="1" t="s">
        <v>12</v>
      </c>
      <c r="E10" s="26">
        <f>E65*E102</f>
        <v>1196631.75</v>
      </c>
      <c r="F10" s="17" t="str">
        <f t="shared" ca="1" si="0"/>
        <v>=E65*E102</v>
      </c>
      <c r="G10" s="86"/>
      <c r="I10" s="26">
        <f t="shared" ref="I10:I12" si="2">K10+M10</f>
        <v>1148430.273913512</v>
      </c>
      <c r="J10" s="17" t="str">
        <f t="shared" ca="1" si="1"/>
        <v>=K10+M10</v>
      </c>
      <c r="K10" s="53">
        <f>K65*K102</f>
        <v>1005170.6699999999</v>
      </c>
      <c r="L10" s="17" t="str">
        <f t="shared" ref="L10:L15" ca="1" si="3">_xlfn.FORMULATEXT(K10)</f>
        <v>=K65*K102</v>
      </c>
      <c r="M10" s="53">
        <f>M65*M102</f>
        <v>143259.60391351196</v>
      </c>
      <c r="N10" s="17" t="str">
        <f t="shared" ref="N10:N15" ca="1" si="4">_xlfn.FORMULATEXT(M10)</f>
        <v>=M65*M102</v>
      </c>
    </row>
    <row r="11" spans="2:15" x14ac:dyDescent="0.25">
      <c r="B11" s="1" t="s">
        <v>430</v>
      </c>
      <c r="C11" s="1" t="s">
        <v>12</v>
      </c>
      <c r="E11" s="26">
        <f>E12-E16</f>
        <v>119567.23812907752</v>
      </c>
      <c r="F11" s="17" t="str">
        <f t="shared" ca="1" si="0"/>
        <v>=E12-E16</v>
      </c>
      <c r="G11" s="86"/>
      <c r="I11" s="26">
        <f>I12-I16</f>
        <v>75574.616041139874</v>
      </c>
      <c r="J11" s="17" t="str">
        <f t="shared" ca="1" si="1"/>
        <v>=I12-I16</v>
      </c>
      <c r="K11" s="17"/>
      <c r="L11" s="17"/>
      <c r="M11" s="17"/>
      <c r="N11" s="17"/>
    </row>
    <row r="12" spans="2:15" x14ac:dyDescent="0.25">
      <c r="B12" s="103" t="s">
        <v>29</v>
      </c>
      <c r="C12" s="103" t="s">
        <v>12</v>
      </c>
      <c r="D12" s="103"/>
      <c r="E12" s="104">
        <f>SUM(E13:E15)</f>
        <v>164468.13095930696</v>
      </c>
      <c r="F12" s="105" t="str">
        <f t="shared" ca="1" si="0"/>
        <v>=SUM(E13:E15)</v>
      </c>
      <c r="G12" s="106"/>
      <c r="H12" s="103"/>
      <c r="I12" s="104">
        <f t="shared" si="2"/>
        <v>186796.28703394387</v>
      </c>
      <c r="J12" s="105" t="str">
        <f t="shared" ca="1" si="1"/>
        <v>=K12+M12</v>
      </c>
      <c r="K12" s="107">
        <f>SUM(K13:K15)</f>
        <v>129120.82936223768</v>
      </c>
      <c r="L12" s="105" t="str">
        <f t="shared" ca="1" si="3"/>
        <v>=SUM(K13:K15)</v>
      </c>
      <c r="M12" s="107">
        <f>SUM(M13:M15)</f>
        <v>57675.457671706179</v>
      </c>
      <c r="N12" s="17" t="str">
        <f t="shared" ca="1" si="4"/>
        <v>=SUM(M13:M15)</v>
      </c>
    </row>
    <row r="13" spans="2:15" x14ac:dyDescent="0.25">
      <c r="B13" s="103" t="s">
        <v>378</v>
      </c>
      <c r="C13" s="103" t="s">
        <v>12</v>
      </c>
      <c r="D13" s="103"/>
      <c r="E13" s="104">
        <f>E49*E109</f>
        <v>76150.2258</v>
      </c>
      <c r="F13" s="105" t="str">
        <f t="shared" ca="1" si="0"/>
        <v>=E49*E109</v>
      </c>
      <c r="G13" s="106"/>
      <c r="H13" s="103"/>
      <c r="I13" s="104">
        <f>K13+M13</f>
        <v>97784.80585855103</v>
      </c>
      <c r="J13" s="105" t="str">
        <f t="shared" ca="1" si="1"/>
        <v>=K13+M13</v>
      </c>
      <c r="K13" s="107">
        <f>K49*K109</f>
        <v>63966.189671999993</v>
      </c>
      <c r="L13" s="105" t="str">
        <f t="shared" ca="1" si="3"/>
        <v>=K49*K109</v>
      </c>
      <c r="M13" s="107">
        <f>M49*M109</f>
        <v>33818.616186551037</v>
      </c>
      <c r="N13" s="17" t="str">
        <f t="shared" ca="1" si="4"/>
        <v>=M49*M109</v>
      </c>
    </row>
    <row r="14" spans="2:15" x14ac:dyDescent="0.25">
      <c r="B14" s="103" t="s">
        <v>380</v>
      </c>
      <c r="C14" s="103" t="s">
        <v>12</v>
      </c>
      <c r="D14" s="103"/>
      <c r="E14" s="104">
        <f>E50*E110</f>
        <v>21112.543227906979</v>
      </c>
      <c r="F14" s="105" t="str">
        <f t="shared" ca="1" si="0"/>
        <v>=E50*E110</v>
      </c>
      <c r="G14" s="106"/>
      <c r="H14" s="103"/>
      <c r="I14" s="104">
        <f>K14+M14</f>
        <v>27110.700185489801</v>
      </c>
      <c r="J14" s="105" t="str">
        <f t="shared" ca="1" si="1"/>
        <v>=K14+M14</v>
      </c>
      <c r="K14" s="107">
        <f>K50*K110</f>
        <v>17734.536311441861</v>
      </c>
      <c r="L14" s="105" t="str">
        <f t="shared" ca="1" si="3"/>
        <v>=K50*K110</v>
      </c>
      <c r="M14" s="107">
        <f>M50*M110</f>
        <v>9376.1638740479393</v>
      </c>
      <c r="N14" s="17" t="str">
        <f t="shared" ca="1" si="4"/>
        <v>=M50*M110</v>
      </c>
    </row>
    <row r="15" spans="2:15" x14ac:dyDescent="0.25">
      <c r="B15" s="103" t="s">
        <v>379</v>
      </c>
      <c r="C15" s="103" t="s">
        <v>12</v>
      </c>
      <c r="D15" s="103"/>
      <c r="E15" s="104">
        <f>(E48*E107)+(E51*E111)</f>
        <v>67205.361931399995</v>
      </c>
      <c r="F15" s="105" t="str">
        <f t="shared" ca="1" si="0"/>
        <v>=(E48*E107)+(E51*E111)</v>
      </c>
      <c r="G15" s="106"/>
      <c r="H15" s="103"/>
      <c r="I15" s="104">
        <f>K15+M15</f>
        <v>61900.780989903025</v>
      </c>
      <c r="J15" s="105" t="str">
        <f t="shared" ca="1" si="1"/>
        <v>=K15+M15</v>
      </c>
      <c r="K15" s="107">
        <f>(K48*K107)+(K51*K111)</f>
        <v>47420.103378795822</v>
      </c>
      <c r="L15" s="105" t="str">
        <f t="shared" ca="1" si="3"/>
        <v>=(K48*K107)+(K51*K111)</v>
      </c>
      <c r="M15" s="107">
        <f>(M48*M107)+(M51*M111)</f>
        <v>14480.677611107203</v>
      </c>
      <c r="N15" s="17" t="str">
        <f t="shared" ca="1" si="4"/>
        <v>=(M48*M107)+(M51*M111)</v>
      </c>
    </row>
    <row r="16" spans="2:15" x14ac:dyDescent="0.25">
      <c r="B16" s="103" t="s">
        <v>424</v>
      </c>
      <c r="C16" s="103" t="s">
        <v>12</v>
      </c>
      <c r="D16" s="103"/>
      <c r="E16" s="104">
        <f>E17+E18</f>
        <v>44900.892830229437</v>
      </c>
      <c r="F16" s="105" t="str">
        <f ca="1">_xlfn.FORMULATEXT(E16)</f>
        <v>=E17+E18</v>
      </c>
      <c r="G16" s="106"/>
      <c r="H16" s="103"/>
      <c r="I16" s="104">
        <f>I17+I18</f>
        <v>111221.67099280399</v>
      </c>
      <c r="J16" s="105" t="str">
        <f t="shared" ref="J16:J21" ca="1" si="5">_xlfn.FORMULATEXT(I16)</f>
        <v>=I17+I18</v>
      </c>
      <c r="K16" s="108"/>
      <c r="L16" s="108"/>
      <c r="M16" s="108"/>
      <c r="N16" s="16"/>
      <c r="O16" s="16"/>
    </row>
    <row r="17" spans="2:15" x14ac:dyDescent="0.25">
      <c r="B17" s="103" t="s">
        <v>20</v>
      </c>
      <c r="C17" s="103" t="s">
        <v>12</v>
      </c>
      <c r="D17" s="103"/>
      <c r="E17" s="104">
        <f>SUMPRODUCT(E44:E45,E104:E105)</f>
        <v>44900.892830229437</v>
      </c>
      <c r="F17" s="105" t="str">
        <f ca="1">_xlfn.FORMULATEXT(E17)</f>
        <v>=SUMPRODUCT(E44:E45,E104:E105)</v>
      </c>
      <c r="G17" s="106"/>
      <c r="H17" s="103"/>
      <c r="I17" s="104">
        <f>SUMPRODUCT(I44:I45,K104:K105)</f>
        <v>62744.736708602337</v>
      </c>
      <c r="J17" s="105" t="str">
        <f t="shared" ca="1" si="5"/>
        <v>=SUMPRODUCT(I44:I45,K104:K105)</v>
      </c>
      <c r="K17" s="108"/>
      <c r="L17" s="108"/>
      <c r="M17" s="108"/>
      <c r="N17" s="16"/>
      <c r="O17" s="16"/>
    </row>
    <row r="18" spans="2:15" x14ac:dyDescent="0.25">
      <c r="B18" s="103" t="s">
        <v>425</v>
      </c>
      <c r="C18" s="103" t="s">
        <v>12</v>
      </c>
      <c r="D18" s="103"/>
      <c r="E18" s="104">
        <v>0</v>
      </c>
      <c r="F18" s="105"/>
      <c r="G18" s="106"/>
      <c r="H18" s="103"/>
      <c r="I18" s="104">
        <f>SUM(I19:I21)</f>
        <v>48476.934284201649</v>
      </c>
      <c r="J18" s="105" t="str">
        <f t="shared" ca="1" si="5"/>
        <v>=SUM(I19:I21)</v>
      </c>
      <c r="K18" s="108"/>
      <c r="L18" s="108"/>
      <c r="M18" s="108"/>
      <c r="N18" s="16"/>
      <c r="O18" s="16"/>
    </row>
    <row r="19" spans="2:15" x14ac:dyDescent="0.25">
      <c r="B19" s="103" t="s">
        <v>290</v>
      </c>
      <c r="C19" s="103" t="s">
        <v>12</v>
      </c>
      <c r="D19" s="103"/>
      <c r="E19" s="104">
        <v>0</v>
      </c>
      <c r="F19" s="105"/>
      <c r="G19" s="106"/>
      <c r="H19" s="103"/>
      <c r="I19" s="104">
        <f>IF(E59&gt;I59,(E59-I59)*E104,0)</f>
        <v>35712.37680000002</v>
      </c>
      <c r="J19" s="105" t="str">
        <f t="shared" ca="1" si="5"/>
        <v>=IF(E59&gt;I59,(E59-I59)*E104,0)</v>
      </c>
      <c r="K19" s="108"/>
      <c r="L19" s="108"/>
      <c r="M19" s="108"/>
      <c r="N19" s="16"/>
      <c r="O19" s="16"/>
    </row>
    <row r="20" spans="2:15" x14ac:dyDescent="0.25">
      <c r="B20" s="103" t="s">
        <v>293</v>
      </c>
      <c r="C20" s="103" t="s">
        <v>12</v>
      </c>
      <c r="D20" s="103"/>
      <c r="E20" s="104">
        <v>0</v>
      </c>
      <c r="F20" s="105"/>
      <c r="G20" s="106"/>
      <c r="H20" s="103"/>
      <c r="I20" s="104">
        <f>IF(E60&gt;I60, (E60-I60)*E105,0)</f>
        <v>8096.9838221395257</v>
      </c>
      <c r="J20" s="105" t="str">
        <f t="shared" ca="1" si="5"/>
        <v>=IF(E60&gt;I60, (E60-I60)*E105,0)</v>
      </c>
      <c r="K20" s="108"/>
      <c r="L20" s="108"/>
      <c r="M20" s="108"/>
      <c r="N20" s="16"/>
      <c r="O20" s="16"/>
    </row>
    <row r="21" spans="2:15" x14ac:dyDescent="0.25">
      <c r="B21" s="103" t="s">
        <v>292</v>
      </c>
      <c r="C21" s="103" t="s">
        <v>12</v>
      </c>
      <c r="D21" s="103"/>
      <c r="E21" s="104">
        <v>0</v>
      </c>
      <c r="F21" s="105"/>
      <c r="G21" s="106"/>
      <c r="H21" s="103"/>
      <c r="I21" s="104">
        <f>IF(E61&gt;I61, (E61-I61)*E106,0)</f>
        <v>4667.5736620621001</v>
      </c>
      <c r="J21" s="105" t="str">
        <f t="shared" ca="1" si="5"/>
        <v>=IF(E61&gt;I61, (E61-I61)*E106,0)</v>
      </c>
      <c r="K21" s="108"/>
      <c r="L21" s="108"/>
      <c r="M21" s="108"/>
      <c r="N21" s="16"/>
      <c r="O21" s="16"/>
    </row>
    <row r="22" spans="2:15" x14ac:dyDescent="0.25">
      <c r="E22" s="90"/>
      <c r="F22" s="17"/>
      <c r="G22" s="86"/>
      <c r="I22" s="90"/>
      <c r="K22" s="90"/>
      <c r="M22" s="90"/>
    </row>
    <row r="23" spans="2:15" x14ac:dyDescent="0.25">
      <c r="B23" s="2" t="s">
        <v>405</v>
      </c>
      <c r="C23" s="1" t="s">
        <v>12</v>
      </c>
      <c r="E23" s="26">
        <f>SUM(E24:E28)</f>
        <v>782580.2225898949</v>
      </c>
      <c r="F23" s="17" t="str">
        <f t="shared" ref="F23:F30" ca="1" si="6">_xlfn.FORMULATEXT(E23)</f>
        <v>=SUM(E24:E28)</v>
      </c>
      <c r="G23" s="86">
        <f>(E23-'Dairy parameter'!C36)/'Dairy parameter'!C36</f>
        <v>4.583587246698359E-2</v>
      </c>
      <c r="I23" s="26">
        <f>SUM(I24:I28)</f>
        <v>764721.53120752226</v>
      </c>
      <c r="J23" s="17" t="str">
        <f t="shared" ref="J23:J28" ca="1" si="7">_xlfn.FORMULATEXT(I23)</f>
        <v>=SUM(I24:I28)</v>
      </c>
      <c r="K23" s="16"/>
      <c r="L23" s="16"/>
      <c r="M23" s="16"/>
      <c r="N23" s="16"/>
      <c r="O23" s="16"/>
    </row>
    <row r="24" spans="2:15" x14ac:dyDescent="0.25">
      <c r="B24" s="1" t="s">
        <v>407</v>
      </c>
      <c r="C24" s="1" t="s">
        <v>12</v>
      </c>
      <c r="E24" s="26">
        <f>SUMPRODUCT(E54:E56,E127:E129)</f>
        <v>263922.89198375586</v>
      </c>
      <c r="F24" s="17" t="str">
        <f t="shared" ca="1" si="6"/>
        <v>=SUMPRODUCT(E54:E56,E127:E129)</v>
      </c>
      <c r="G24" s="86"/>
      <c r="I24" s="26">
        <f>SUMPRODUCT(I54:I56,I127:I129)</f>
        <v>252794.18698585435</v>
      </c>
      <c r="J24" s="17" t="str">
        <f t="shared" ca="1" si="7"/>
        <v>=SUMPRODUCT(I54:I56,I127:I129)</v>
      </c>
      <c r="K24" s="16"/>
      <c r="L24" s="16"/>
      <c r="M24" s="16"/>
      <c r="N24" s="16"/>
      <c r="O24" s="16"/>
    </row>
    <row r="25" spans="2:15" x14ac:dyDescent="0.25">
      <c r="B25" s="1" t="s">
        <v>18</v>
      </c>
      <c r="C25" s="1" t="s">
        <v>12</v>
      </c>
      <c r="E25" s="26">
        <f>E124*(E34+E35)</f>
        <v>36737.151162790702</v>
      </c>
      <c r="F25" s="17" t="str">
        <f t="shared" ca="1" si="6"/>
        <v>=E124*(E34+E35)</v>
      </c>
      <c r="G25" s="86"/>
      <c r="I25" s="26">
        <f>I124*(I34+I35)</f>
        <v>36737.151162790702</v>
      </c>
      <c r="J25" s="17" t="str">
        <f t="shared" ca="1" si="7"/>
        <v>=I124*(I34+I35)</v>
      </c>
      <c r="K25" s="16"/>
      <c r="L25" s="16"/>
      <c r="M25" s="16"/>
      <c r="N25" s="16"/>
      <c r="O25" s="16"/>
    </row>
    <row r="26" spans="2:15" x14ac:dyDescent="0.25">
      <c r="B26" s="1" t="s">
        <v>19</v>
      </c>
      <c r="C26" s="1" t="s">
        <v>12</v>
      </c>
      <c r="E26" s="26">
        <f>SUM(E54:E56)*E121</f>
        <v>46654.71693737508</v>
      </c>
      <c r="F26" s="17" t="str">
        <f t="shared" ca="1" si="6"/>
        <v>=SUM(E54:E56)*E121</v>
      </c>
      <c r="G26" s="86"/>
      <c r="I26" s="26">
        <f>K26+M26</f>
        <v>44590.382584253835</v>
      </c>
      <c r="J26" s="17" t="str">
        <f t="shared" ca="1" si="7"/>
        <v>=K26+M26</v>
      </c>
      <c r="K26" s="53">
        <f>SUM(K54:K56)*K121</f>
        <v>37258.473339420816</v>
      </c>
      <c r="L26" s="17" t="str">
        <f ca="1">_xlfn.FORMULATEXT(K26)</f>
        <v>=SUM(K54:K56)*K121</v>
      </c>
      <c r="M26" s="53">
        <f>SUM(M54:M56)*M121</f>
        <v>7331.9092448330175</v>
      </c>
      <c r="N26" s="17" t="str">
        <f ca="1">_xlfn.FORMULATEXT(M26)</f>
        <v>=SUM(M54:M56)*M121</v>
      </c>
      <c r="O26" s="16"/>
    </row>
    <row r="27" spans="2:15" x14ac:dyDescent="0.25">
      <c r="B27" s="1" t="s">
        <v>11</v>
      </c>
      <c r="C27" s="1" t="s">
        <v>12</v>
      </c>
      <c r="E27" s="26">
        <f>SUMPRODUCT(E54:E56,E116:E118)</f>
        <v>128622.67828196016</v>
      </c>
      <c r="F27" s="17" t="str">
        <f t="shared" ca="1" si="6"/>
        <v>=SUMPRODUCT(E54:E56,E116:E118)</v>
      </c>
      <c r="G27" s="86"/>
      <c r="I27" s="26">
        <f>SUMPRODUCT(I54:I56,I116:I118)</f>
        <v>123957.02625061024</v>
      </c>
      <c r="J27" s="17" t="str">
        <f t="shared" ca="1" si="7"/>
        <v>=SUMPRODUCT(I54:I56,I116:I118)</v>
      </c>
      <c r="K27" s="16"/>
      <c r="L27" s="16"/>
      <c r="M27" s="16"/>
      <c r="N27" s="16"/>
      <c r="O27" s="16"/>
    </row>
    <row r="28" spans="2:15" x14ac:dyDescent="0.25">
      <c r="B28" s="1" t="s">
        <v>410</v>
      </c>
      <c r="C28" s="1" t="s">
        <v>12</v>
      </c>
      <c r="E28" s="26">
        <f>'Dairy parameter'!C31</f>
        <v>306642.7842240131</v>
      </c>
      <c r="F28" s="17" t="str">
        <f t="shared" ca="1" si="6"/>
        <v>='Dairy parameter'!C31</v>
      </c>
      <c r="G28" s="86"/>
      <c r="I28" s="26">
        <f>E28</f>
        <v>306642.7842240131</v>
      </c>
      <c r="J28" s="17" t="str">
        <f t="shared" ca="1" si="7"/>
        <v>=E28</v>
      </c>
      <c r="K28" s="16"/>
      <c r="L28" s="16"/>
      <c r="M28" s="16"/>
      <c r="N28" s="16"/>
      <c r="O28" s="16"/>
    </row>
    <row r="29" spans="2:15" x14ac:dyDescent="0.25">
      <c r="F29" s="17"/>
      <c r="G29" s="86"/>
      <c r="I29" s="17"/>
      <c r="J29" s="17"/>
      <c r="K29" s="16"/>
      <c r="L29" s="16"/>
      <c r="M29" s="16"/>
      <c r="N29" s="16"/>
      <c r="O29" s="16"/>
    </row>
    <row r="30" spans="2:15" x14ac:dyDescent="0.25">
      <c r="B30" s="1" t="s">
        <v>408</v>
      </c>
      <c r="C30" s="1" t="s">
        <v>12</v>
      </c>
      <c r="E30" s="26">
        <f>'Dairy parameter'!C34</f>
        <v>-146629.1660377653</v>
      </c>
      <c r="F30" s="17" t="str">
        <f t="shared" ca="1" si="6"/>
        <v>='Dairy parameter'!C34</v>
      </c>
      <c r="G30" s="86"/>
      <c r="I30" s="26">
        <f>E30</f>
        <v>-146629.1660377653</v>
      </c>
      <c r="J30" s="17" t="str">
        <f t="shared" ref="J30" ca="1" si="8">_xlfn.FORMULATEXT(I30)</f>
        <v>=E30</v>
      </c>
      <c r="K30" s="16"/>
      <c r="L30" s="16"/>
      <c r="M30" s="16"/>
      <c r="N30" s="16"/>
      <c r="O30" s="16"/>
    </row>
    <row r="31" spans="2:15" x14ac:dyDescent="0.25">
      <c r="E31" s="91"/>
      <c r="F31" s="91"/>
      <c r="I31" s="91"/>
      <c r="K31" s="91"/>
      <c r="L31" s="17"/>
      <c r="M31" s="91"/>
      <c r="N31" s="17"/>
    </row>
    <row r="32" spans="2:15" x14ac:dyDescent="0.25">
      <c r="B32" s="55" t="s">
        <v>120</v>
      </c>
      <c r="C32" s="56"/>
      <c r="D32" s="56"/>
      <c r="E32" s="56"/>
      <c r="F32" s="58"/>
      <c r="G32" s="87"/>
      <c r="H32" s="56"/>
      <c r="I32" s="56"/>
      <c r="J32" s="56"/>
      <c r="K32" s="56"/>
      <c r="L32" s="59"/>
      <c r="M32" s="56"/>
      <c r="N32" s="59"/>
    </row>
    <row r="33" spans="2:20" x14ac:dyDescent="0.25">
      <c r="B33" s="2"/>
      <c r="F33" s="11"/>
      <c r="G33" s="84"/>
      <c r="L33" s="17"/>
      <c r="N33" s="17"/>
    </row>
    <row r="34" spans="2:20" x14ac:dyDescent="0.25">
      <c r="B34" s="1" t="s">
        <v>399</v>
      </c>
      <c r="E34" s="14">
        <f>'Dairy parameter'!C2</f>
        <v>415</v>
      </c>
      <c r="F34" s="17" t="str">
        <f ca="1">_xlfn.FORMULATEXT(E34)</f>
        <v>='Dairy parameter'!C2</v>
      </c>
      <c r="G34" s="86"/>
      <c r="I34" s="14">
        <f>K34+M34</f>
        <v>415</v>
      </c>
      <c r="J34" s="17" t="str">
        <f ca="1">_xlfn.FORMULATEXT(I34)</f>
        <v>=K34+M34</v>
      </c>
      <c r="K34" s="42">
        <f>E34*(1-'Partial Budget'!E10/100)</f>
        <v>348.59999999999997</v>
      </c>
      <c r="L34" s="17" t="str">
        <f ca="1">_xlfn.FORMULATEXT(K34)</f>
        <v>=E34*(1-'Partial Budget'!E10/100)</v>
      </c>
      <c r="M34" s="42">
        <f>E34*'Partial Budget'!$E$10/100</f>
        <v>66.400000000000006</v>
      </c>
      <c r="N34" s="17" t="str">
        <f ca="1">_xlfn.FORMULATEXT(M34)</f>
        <v>=E34*'Partial Budget'!$E$10/100</v>
      </c>
    </row>
    <row r="35" spans="2:20" x14ac:dyDescent="0.25">
      <c r="B35" s="1" t="s">
        <v>373</v>
      </c>
      <c r="E35" s="14">
        <f>(E34*E70)/(1-E74-E93)</f>
        <v>117.42248062015504</v>
      </c>
      <c r="F35" s="17" t="str">
        <f ca="1">_xlfn.FORMULATEXT(E35)</f>
        <v>=(E34*E70)/(1-E74-E93)</v>
      </c>
      <c r="G35" s="86"/>
      <c r="I35" s="14">
        <f>K35+M35</f>
        <v>117.42248062015504</v>
      </c>
      <c r="J35" s="17" t="str">
        <f ca="1">_xlfn.FORMULATEXT(I35)</f>
        <v>=K35+M35</v>
      </c>
      <c r="K35" s="42">
        <f>E35*(1-'Partial Budget'!$E$10/100)</f>
        <v>98.634883720930233</v>
      </c>
      <c r="L35" s="17" t="str">
        <f ca="1">_xlfn.FORMULATEXT(K35)</f>
        <v>=E35*(1-'Partial Budget'!$E$10/100)</v>
      </c>
      <c r="M35" s="42">
        <f>E35*'Partial Budget'!$E$10/100</f>
        <v>18.787596899224805</v>
      </c>
      <c r="N35" s="17" t="str">
        <f ca="1">_xlfn.FORMULATEXT(M35)</f>
        <v>=E35*'Partial Budget'!$E$10/100</v>
      </c>
    </row>
    <row r="36" spans="2:20" x14ac:dyDescent="0.25">
      <c r="B36" s="1" t="s">
        <v>39</v>
      </c>
      <c r="E36" s="14">
        <f>E34*(1-E91-E73)</f>
        <v>324.11500000000001</v>
      </c>
      <c r="F36" s="17" t="str">
        <f ca="1">_xlfn.FORMULATEXT(E36)</f>
        <v>=E34*(1-E91-E73)</v>
      </c>
      <c r="G36" s="86"/>
      <c r="I36" s="14">
        <f>K36+M36</f>
        <v>300.69704799999988</v>
      </c>
      <c r="J36" s="17" t="str">
        <f ca="1">_xlfn.FORMULATEXT(I36)</f>
        <v>=K36+M36</v>
      </c>
      <c r="K36" s="42">
        <f>K34*(1-K73-K91)*(1-'Partial Budget'!$E$10/100)</f>
        <v>228.69554399999993</v>
      </c>
      <c r="L36" s="17" t="str">
        <f ca="1">_xlfn.FORMULATEXT(K36)</f>
        <v>=K34*(1-K73-K91)*(1-'Partial Budget'!$E$10/100)</v>
      </c>
      <c r="M36" s="42">
        <f>M34*(1-M73-M91) + K34*(1-K73-K91)*'Partial Budget'!$E$10/100</f>
        <v>72.001503999999983</v>
      </c>
      <c r="N36" s="17" t="str">
        <f ca="1">_xlfn.FORMULATEXT(M36)</f>
        <v>=M34*(1-M73-M91) + K34*(1-K73-K91)*'Partial Budget'!$E$10/100</v>
      </c>
    </row>
    <row r="37" spans="2:20" x14ac:dyDescent="0.25">
      <c r="E37" s="93"/>
      <c r="F37" s="17"/>
      <c r="G37" s="86"/>
      <c r="I37" s="93"/>
      <c r="K37" s="93"/>
      <c r="L37" s="17"/>
      <c r="M37" s="93"/>
      <c r="N37" s="17"/>
    </row>
    <row r="38" spans="2:20" x14ac:dyDescent="0.25">
      <c r="B38" s="2" t="s">
        <v>103</v>
      </c>
      <c r="E38" s="93"/>
      <c r="F38" s="17"/>
      <c r="G38" s="86"/>
      <c r="I38" s="93"/>
      <c r="K38" s="93"/>
      <c r="L38" s="17"/>
      <c r="M38" s="93"/>
      <c r="N38" s="17"/>
    </row>
    <row r="39" spans="2:20" x14ac:dyDescent="0.25">
      <c r="B39" s="1" t="s">
        <v>104</v>
      </c>
      <c r="C39" s="1" t="s">
        <v>34</v>
      </c>
      <c r="E39" s="94">
        <f>E34*E73</f>
        <v>8.7149999999999999</v>
      </c>
      <c r="F39" s="17" t="str">
        <f ca="1">_xlfn.FORMULATEXT(E39)</f>
        <v>=E34*E73</v>
      </c>
      <c r="G39" s="86"/>
      <c r="I39" s="94">
        <f>K39+M39</f>
        <v>8.7149999999999999</v>
      </c>
      <c r="J39" s="17" t="str">
        <f ca="1">_xlfn.FORMULATEXT(I39)</f>
        <v>=K39+M39</v>
      </c>
      <c r="K39" s="95">
        <f>K34*K73</f>
        <v>7.3205999999999998</v>
      </c>
      <c r="L39" s="17" t="str">
        <f ca="1">_xlfn.FORMULATEXT(K39)</f>
        <v>=K34*K73</v>
      </c>
      <c r="M39" s="95">
        <f>M34*M73</f>
        <v>1.3944000000000003</v>
      </c>
      <c r="N39" s="17" t="str">
        <f ca="1">_xlfn.FORMULATEXT(M39)</f>
        <v>=M34*M73</v>
      </c>
      <c r="T39" s="96"/>
    </row>
    <row r="40" spans="2:20" x14ac:dyDescent="0.25">
      <c r="B40" s="1" t="s">
        <v>207</v>
      </c>
      <c r="C40" s="1" t="s">
        <v>34</v>
      </c>
      <c r="E40" s="94">
        <f>E35*E74</f>
        <v>3.2878294573643414</v>
      </c>
      <c r="F40" s="17" t="str">
        <f ca="1">_xlfn.FORMULATEXT(E40)</f>
        <v>=E35*E74</v>
      </c>
      <c r="G40" s="86"/>
      <c r="I40" s="94">
        <f>K40+M40</f>
        <v>3.2878294573643414</v>
      </c>
      <c r="J40" s="17" t="str">
        <f ca="1">_xlfn.FORMULATEXT(I40)</f>
        <v>=K40+M40</v>
      </c>
      <c r="K40" s="95">
        <f>K35*K74</f>
        <v>2.7617767441860468</v>
      </c>
      <c r="L40" s="17" t="str">
        <f ca="1">_xlfn.FORMULATEXT(K40)</f>
        <v>=K35*K74</v>
      </c>
      <c r="M40" s="95">
        <f>M35*M74</f>
        <v>0.52605271317829461</v>
      </c>
      <c r="N40" s="17" t="str">
        <f ca="1">_xlfn.FORMULATEXT(M40)</f>
        <v>=M35*M74</v>
      </c>
      <c r="T40" s="96"/>
    </row>
    <row r="41" spans="2:20" x14ac:dyDescent="0.25">
      <c r="B41" s="1" t="s">
        <v>374</v>
      </c>
      <c r="C41" s="1" t="s">
        <v>34</v>
      </c>
      <c r="E41" s="94">
        <f>E36*E75</f>
        <v>35.976765</v>
      </c>
      <c r="F41" s="17" t="str">
        <f ca="1">_xlfn.FORMULATEXT(E41)</f>
        <v>=E36*E75</v>
      </c>
      <c r="G41" s="86"/>
      <c r="I41" s="94">
        <f>K41+M41</f>
        <v>35.177409927999989</v>
      </c>
      <c r="J41" s="17" t="str">
        <f ca="1">_xlfn.FORMULATEXT(I41)</f>
        <v>=K41+M41</v>
      </c>
      <c r="K41" s="95">
        <f>K36*K75</f>
        <v>25.385205383999992</v>
      </c>
      <c r="L41" s="17" t="str">
        <f ca="1">_xlfn.FORMULATEXT(K41)</f>
        <v>=K36*K75</v>
      </c>
      <c r="M41" s="95">
        <f>M36*M75</f>
        <v>9.7922045439999987</v>
      </c>
      <c r="N41" s="17" t="str">
        <f ca="1">_xlfn.FORMULATEXT(M41)</f>
        <v>=M36*M75</v>
      </c>
    </row>
    <row r="42" spans="2:20" x14ac:dyDescent="0.25">
      <c r="E42" s="7"/>
      <c r="F42" s="17"/>
      <c r="G42" s="86"/>
      <c r="I42" s="7"/>
      <c r="K42" s="7"/>
      <c r="L42" s="17"/>
      <c r="M42" s="7"/>
      <c r="N42" s="17"/>
    </row>
    <row r="43" spans="2:20" x14ac:dyDescent="0.25">
      <c r="B43" s="2" t="s">
        <v>427</v>
      </c>
      <c r="E43" s="7"/>
      <c r="F43" s="17"/>
      <c r="G43" s="86"/>
      <c r="I43" s="7"/>
      <c r="K43" s="7"/>
      <c r="L43" s="17"/>
      <c r="M43" s="7"/>
      <c r="N43" s="17"/>
    </row>
    <row r="44" spans="2:20" x14ac:dyDescent="0.25">
      <c r="B44" s="1" t="s">
        <v>429</v>
      </c>
      <c r="E44" s="20">
        <f>E96-E95</f>
        <v>0</v>
      </c>
      <c r="F44" s="17" t="str">
        <f ca="1">_xlfn.FORMULATEXT(E44)</f>
        <v>=E96-E95</v>
      </c>
      <c r="G44" s="86"/>
      <c r="I44" s="20">
        <f>I96-I95</f>
        <v>6.6260096744186114</v>
      </c>
      <c r="J44" s="17" t="str">
        <f ca="1">_xlfn.FORMULATEXT(I44)</f>
        <v>=I96-I95</v>
      </c>
      <c r="K44" s="7"/>
      <c r="L44" s="17"/>
      <c r="M44" s="7"/>
      <c r="N44" s="17"/>
    </row>
    <row r="45" spans="2:20" x14ac:dyDescent="0.25">
      <c r="B45" s="1" t="s">
        <v>207</v>
      </c>
      <c r="E45" s="20">
        <f>IF(E35-E84&gt;0,E35-E84,0)</f>
        <v>36.743774820155025</v>
      </c>
      <c r="F45" s="17" t="str">
        <f ca="1">_xlfn.FORMULATEXT(E45)</f>
        <v>=IF(E35-E84&gt;0,E35-E84,0)</v>
      </c>
      <c r="G45" s="86"/>
      <c r="I45" s="20">
        <f>IF(I35-I84&gt;0,I35-I84,0)</f>
        <v>43.076981959995052</v>
      </c>
      <c r="J45" s="17" t="str">
        <f ca="1">_xlfn.FORMULATEXT(I45)</f>
        <v>=IF(I35-I84&gt;0,I35-I84,0)</v>
      </c>
      <c r="K45" s="42">
        <f>I45*(1-'Partial Budget'!E10/100)</f>
        <v>36.18466484639584</v>
      </c>
      <c r="L45" s="17" t="str">
        <f ca="1">_xlfn.FORMULATEXT(K45)</f>
        <v>=I45*(1-'Partial Budget'!E10/100)</v>
      </c>
      <c r="M45" s="42">
        <f>I45*'Partial Budget'!$E$10/100</f>
        <v>6.8923171135992085</v>
      </c>
      <c r="N45" s="17" t="str">
        <f ca="1">_xlfn.FORMULATEXT(M45)</f>
        <v>=I45*'Partial Budget'!$E$10/100</v>
      </c>
    </row>
    <row r="46" spans="2:20" x14ac:dyDescent="0.25">
      <c r="E46" s="17"/>
      <c r="F46" s="17"/>
      <c r="G46" s="86"/>
      <c r="I46" s="92"/>
      <c r="K46" s="92"/>
      <c r="L46" s="92"/>
      <c r="M46" s="92"/>
      <c r="N46" s="92"/>
    </row>
    <row r="47" spans="2:20" x14ac:dyDescent="0.25">
      <c r="B47" s="2" t="s">
        <v>426</v>
      </c>
      <c r="E47" s="33"/>
      <c r="F47" s="17"/>
      <c r="G47" s="86"/>
      <c r="I47" s="17"/>
      <c r="J47" s="17"/>
      <c r="K47" s="17"/>
      <c r="L47" s="17"/>
      <c r="M47" s="17"/>
      <c r="N47" s="17"/>
    </row>
    <row r="48" spans="2:20" x14ac:dyDescent="0.25">
      <c r="B48" s="1" t="s">
        <v>396</v>
      </c>
      <c r="C48" s="1" t="s">
        <v>34</v>
      </c>
      <c r="E48" s="14">
        <f>E36*E86*(1-E75)</f>
        <v>106.61114695000001</v>
      </c>
      <c r="F48" s="17" t="str">
        <f ca="1">_xlfn.FORMULATEXT(E48)</f>
        <v>=E36*E86*(1-E75)</v>
      </c>
      <c r="G48" s="86"/>
      <c r="I48" s="14">
        <f>K48+M48</f>
        <v>98.242266086639972</v>
      </c>
      <c r="J48" s="17" t="str">
        <f ca="1">_xlfn.FORMULATEXT(I48)</f>
        <v>=K48+M48</v>
      </c>
      <c r="K48" s="44">
        <f>K36*K86*(1-K75)</f>
        <v>75.22482528791997</v>
      </c>
      <c r="L48" s="17" t="str">
        <f ca="1">_xlfn.FORMULATEXT(K48)</f>
        <v>=K36*K86*(1-K75)</v>
      </c>
      <c r="M48" s="44">
        <f>M36*M86*(1-M75)</f>
        <v>23.017440798719996</v>
      </c>
      <c r="N48" s="17" t="str">
        <f ca="1">_xlfn.FORMULATEXT(M48)</f>
        <v>=M36*M86*(1-M75)</v>
      </c>
    </row>
    <row r="49" spans="2:14" x14ac:dyDescent="0.25">
      <c r="B49" s="1" t="s">
        <v>104</v>
      </c>
      <c r="C49" s="1" t="s">
        <v>34</v>
      </c>
      <c r="E49" s="14">
        <f>E34*E91</f>
        <v>82.17</v>
      </c>
      <c r="F49" s="17" t="str">
        <f ca="1">_xlfn.FORMULATEXT(E49)</f>
        <v>=E34*E91</v>
      </c>
      <c r="G49" s="86"/>
      <c r="I49" s="20">
        <f>K49+M49</f>
        <v>105.58795199999999</v>
      </c>
      <c r="J49" s="17" t="str">
        <f ca="1">_xlfn.FORMULATEXT(I49)</f>
        <v>=K49+M49</v>
      </c>
      <c r="K49" s="44">
        <f>K34*K91</f>
        <v>69.022799999999989</v>
      </c>
      <c r="L49" s="17" t="str">
        <f ca="1">_xlfn.FORMULATEXT(K49)</f>
        <v>=K34*K91</v>
      </c>
      <c r="M49" s="44">
        <f>M34*M91</f>
        <v>36.565151999999998</v>
      </c>
      <c r="N49" s="17" t="str">
        <f ca="1">_xlfn.FORMULATEXT(M49)</f>
        <v>=M34*M91</v>
      </c>
    </row>
    <row r="50" spans="2:14" x14ac:dyDescent="0.25">
      <c r="B50" s="1" t="s">
        <v>207</v>
      </c>
      <c r="C50" s="1" t="s">
        <v>34</v>
      </c>
      <c r="E50" s="14">
        <f>E35*E93</f>
        <v>23.249651162790698</v>
      </c>
      <c r="F50" s="17" t="str">
        <f ca="1">_xlfn.FORMULATEXT(E50)</f>
        <v>=E35*E93</v>
      </c>
      <c r="G50" s="86"/>
      <c r="I50" s="20">
        <f>K50+M50</f>
        <v>29.875660837209303</v>
      </c>
      <c r="J50" s="17" t="str">
        <f ca="1">_xlfn.FORMULATEXT(I50)</f>
        <v>=K50+M50</v>
      </c>
      <c r="K50" s="44">
        <f>K35*K93</f>
        <v>19.529706976744187</v>
      </c>
      <c r="L50" s="17" t="str">
        <f ca="1">_xlfn.FORMULATEXT(K50)</f>
        <v>=K35*K93</v>
      </c>
      <c r="M50" s="44">
        <f>M35*M93</f>
        <v>10.345953860465114</v>
      </c>
      <c r="N50" s="17" t="str">
        <f ca="1">_xlfn.FORMULATEXT(M50)</f>
        <v>=M35*M93</v>
      </c>
    </row>
    <row r="51" spans="2:14" x14ac:dyDescent="0.25">
      <c r="B51" s="1" t="s">
        <v>105</v>
      </c>
      <c r="C51" s="1" t="s">
        <v>34</v>
      </c>
      <c r="E51" s="14">
        <f>E36*E85*(1-E75)</f>
        <v>100.84838225</v>
      </c>
      <c r="F51" s="17" t="str">
        <f ca="1">_xlfn.FORMULATEXT(E51)</f>
        <v>=E36*E85*(1-E75)</v>
      </c>
      <c r="G51" s="86"/>
      <c r="I51" s="20">
        <f>K51+M51</f>
        <v>92.931873325199959</v>
      </c>
      <c r="J51" s="17" t="str">
        <f ca="1">_xlfn.FORMULATEXT(I51)</f>
        <v>=K51+M51</v>
      </c>
      <c r="K51" s="44">
        <f>K36*K85*(1-K75)</f>
        <v>71.158618515599969</v>
      </c>
      <c r="L51" s="17" t="str">
        <f ca="1">_xlfn.FORMULATEXT(K51)</f>
        <v>=K36*K85*(1-K75)</v>
      </c>
      <c r="M51" s="44">
        <f>M36*M85*(1-M75)</f>
        <v>21.773254809599994</v>
      </c>
      <c r="N51" s="17" t="str">
        <f ca="1">_xlfn.FORMULATEXT(M51)</f>
        <v>=M36*M85*(1-M75)</v>
      </c>
    </row>
    <row r="52" spans="2:14" x14ac:dyDescent="0.25">
      <c r="E52" s="33"/>
      <c r="F52" s="17"/>
      <c r="G52" s="86"/>
      <c r="I52" s="17"/>
      <c r="J52" s="17"/>
      <c r="K52" s="17"/>
      <c r="L52" s="17"/>
      <c r="M52" s="17"/>
      <c r="N52" s="17"/>
    </row>
    <row r="53" spans="2:14" x14ac:dyDescent="0.25">
      <c r="B53" s="2" t="s">
        <v>106</v>
      </c>
      <c r="E53" s="7"/>
      <c r="F53" s="17"/>
      <c r="G53" s="86"/>
      <c r="I53" s="7"/>
      <c r="K53" s="7"/>
      <c r="L53" s="17"/>
      <c r="M53" s="7"/>
      <c r="N53" s="17"/>
    </row>
    <row r="54" spans="2:14" x14ac:dyDescent="0.25">
      <c r="B54" s="1" t="s">
        <v>104</v>
      </c>
      <c r="E54" s="14">
        <f>E34-(E49+E39)/2</f>
        <v>369.5575</v>
      </c>
      <c r="F54" s="17" t="str">
        <f ca="1">_xlfn.FORMULATEXT(E54)</f>
        <v>=E34-(E49+E39)/2</v>
      </c>
      <c r="G54" s="86"/>
      <c r="I54" s="14">
        <f>K54+M54</f>
        <v>357.848524</v>
      </c>
      <c r="J54" s="17" t="str">
        <f ca="1">_xlfn.FORMULATEXT(I54)</f>
        <v>=K54+M54</v>
      </c>
      <c r="K54" s="42">
        <f>K34-(K49+K39)/2</f>
        <v>310.42829999999998</v>
      </c>
      <c r="L54" s="17" t="str">
        <f ca="1">_xlfn.FORMULATEXT(K54)</f>
        <v>=K34-(K49+K39)/2</v>
      </c>
      <c r="M54" s="42">
        <f>M34-(M49+M39)/2</f>
        <v>47.420224000000005</v>
      </c>
      <c r="N54" s="17" t="str">
        <f ca="1">_xlfn.FORMULATEXT(M54)</f>
        <v>=M34-(M49+M39)/2</v>
      </c>
    </row>
    <row r="55" spans="2:14" x14ac:dyDescent="0.25">
      <c r="B55" s="1" t="s">
        <v>207</v>
      </c>
      <c r="E55" s="14">
        <f>E35-(E50+E40)/2</f>
        <v>104.15374031007752</v>
      </c>
      <c r="F55" s="17" t="str">
        <f ca="1">_xlfn.FORMULATEXT(E55)</f>
        <v>=E35-(E50+E40)/2</v>
      </c>
      <c r="G55" s="86"/>
      <c r="I55" s="14">
        <f>K55+M55</f>
        <v>100.8407354728682</v>
      </c>
      <c r="J55" s="17" t="str">
        <f ca="1">_xlfn.FORMULATEXT(I55)</f>
        <v>=K55+M55</v>
      </c>
      <c r="K55" s="42">
        <f>K35-(K50+K40)/2</f>
        <v>87.489141860465111</v>
      </c>
      <c r="L55" s="17" t="str">
        <f ca="1">_xlfn.FORMULATEXT(K55)</f>
        <v>=K35-(K50+K40)/2</v>
      </c>
      <c r="M55" s="42">
        <f>M35-(M50+M40)/2</f>
        <v>13.3515936124031</v>
      </c>
      <c r="N55" s="17" t="str">
        <f ca="1">_xlfn.FORMULATEXT(M55)</f>
        <v>=M35-(M50+M40)/2</v>
      </c>
    </row>
    <row r="56" spans="2:14" x14ac:dyDescent="0.25">
      <c r="B56" s="1" t="s">
        <v>374</v>
      </c>
      <c r="E56" s="14">
        <f>(E36-E51)*(1-E75/2)</f>
        <v>210.87532046487502</v>
      </c>
      <c r="F56" s="17" t="str">
        <f ca="1">_xlfn.FORMULATEXT(E56)</f>
        <v>=(E36-E51)*(1-E75/2)</v>
      </c>
      <c r="G56" s="86"/>
      <c r="I56" s="14">
        <f>K56+M56</f>
        <v>195.60635436546852</v>
      </c>
      <c r="J56" s="17" t="str">
        <f ca="1">_xlfn.FORMULATEXT(I56)</f>
        <v>=K56+M56</v>
      </c>
      <c r="K56" s="42">
        <f>(K36-K51)*(1-K75/2)</f>
        <v>148.79362612001574</v>
      </c>
      <c r="L56" s="17" t="str">
        <f ca="1">_xlfn.FORMULATEXT(K56)</f>
        <v>=(K36-K51)*(1-K75/2)</v>
      </c>
      <c r="M56" s="42">
        <f>(M36-M51)*(1-M75/2)</f>
        <v>46.812728245452789</v>
      </c>
      <c r="N56" s="17" t="str">
        <f ca="1">_xlfn.FORMULATEXT(M56)</f>
        <v>=(M36-M51)*(1-M75/2)</v>
      </c>
    </row>
    <row r="57" spans="2:14" x14ac:dyDescent="0.25">
      <c r="E57" s="8"/>
      <c r="F57" s="16"/>
      <c r="G57" s="86"/>
      <c r="I57" s="8"/>
      <c r="K57" s="8"/>
      <c r="L57" s="17"/>
      <c r="M57" s="8"/>
      <c r="N57" s="17"/>
    </row>
    <row r="58" spans="2:14" x14ac:dyDescent="0.25">
      <c r="B58" s="2" t="s">
        <v>276</v>
      </c>
      <c r="E58" s="8"/>
      <c r="F58" s="16"/>
      <c r="G58" s="86"/>
      <c r="I58" s="8"/>
      <c r="K58" s="8"/>
      <c r="L58" s="17"/>
      <c r="M58" s="8"/>
      <c r="N58" s="17"/>
    </row>
    <row r="59" spans="2:14" x14ac:dyDescent="0.25">
      <c r="B59" s="1" t="s">
        <v>104</v>
      </c>
      <c r="E59" s="14">
        <f>E34-(E49+E39)</f>
        <v>324.11500000000001</v>
      </c>
      <c r="F59" s="17" t="str">
        <f ca="1">_xlfn.FORMULATEXT(E59)</f>
        <v>=E34-(E49+E39)</v>
      </c>
      <c r="G59" s="86"/>
      <c r="I59" s="14">
        <f>I34-(I49+I39)</f>
        <v>300.697048</v>
      </c>
      <c r="J59" s="17" t="str">
        <f ca="1">_xlfn.FORMULATEXT(I59)</f>
        <v>=I34-(I49+I39)</v>
      </c>
      <c r="K59" s="8"/>
      <c r="L59" s="17"/>
      <c r="M59" s="8"/>
      <c r="N59" s="17"/>
    </row>
    <row r="60" spans="2:14" x14ac:dyDescent="0.25">
      <c r="B60" s="1" t="s">
        <v>207</v>
      </c>
      <c r="E60" s="14">
        <f>E35-(E50+E40)</f>
        <v>90.885000000000005</v>
      </c>
      <c r="F60" s="17" t="str">
        <f ca="1">_xlfn.FORMULATEXT(E60)</f>
        <v>=E35-(E50+E40)</v>
      </c>
      <c r="G60" s="86"/>
      <c r="I60" s="14">
        <f>I35-(I50+I40)</f>
        <v>84.258990325581408</v>
      </c>
      <c r="J60" s="17" t="str">
        <f ca="1">_xlfn.FORMULATEXT(I60)</f>
        <v>=I35-(I50+I40)</v>
      </c>
      <c r="K60" s="8"/>
      <c r="L60" s="17"/>
      <c r="M60" s="8"/>
      <c r="N60" s="17"/>
    </row>
    <row r="61" spans="2:14" x14ac:dyDescent="0.25">
      <c r="B61" s="1" t="s">
        <v>95</v>
      </c>
      <c r="E61" s="14">
        <f>E84</f>
        <v>80.678705800000017</v>
      </c>
      <c r="F61" s="17" t="str">
        <f ca="1">_xlfn.FORMULATEXT(E61)</f>
        <v>=E84</v>
      </c>
      <c r="G61" s="86"/>
      <c r="I61" s="14">
        <f>I84</f>
        <v>74.34549866015999</v>
      </c>
      <c r="J61" s="17" t="str">
        <f ca="1">_xlfn.FORMULATEXT(I61)</f>
        <v>=I84</v>
      </c>
      <c r="K61" s="8"/>
      <c r="L61" s="17"/>
      <c r="M61" s="8"/>
      <c r="N61" s="17"/>
    </row>
    <row r="62" spans="2:14" x14ac:dyDescent="0.25">
      <c r="E62" s="8"/>
      <c r="F62" s="16"/>
      <c r="G62" s="86"/>
      <c r="I62" s="8"/>
      <c r="K62" s="8"/>
      <c r="L62" s="17"/>
      <c r="M62" s="8"/>
      <c r="N62" s="17"/>
    </row>
    <row r="63" spans="2:14" x14ac:dyDescent="0.25">
      <c r="B63" s="2" t="s">
        <v>78</v>
      </c>
      <c r="E63" s="91"/>
      <c r="F63" s="18"/>
      <c r="G63" s="86"/>
      <c r="I63" s="91"/>
      <c r="K63" s="91"/>
      <c r="L63" s="17"/>
      <c r="M63" s="91"/>
      <c r="N63" s="17"/>
    </row>
    <row r="64" spans="2:14" x14ac:dyDescent="0.25">
      <c r="B64" s="1" t="str">
        <f>'Dairy parameter'!A14</f>
        <v>Milk solid (MS) production</v>
      </c>
      <c r="C64" s="1" t="s">
        <v>421</v>
      </c>
      <c r="E64" s="14">
        <f>'Dairy parameter'!C14*E97</f>
        <v>459.29253228523299</v>
      </c>
      <c r="F64" s="17" t="str">
        <f ca="1">_xlfn.FORMULATEXT(E64)</f>
        <v>='Dairy parameter'!C14*E97</v>
      </c>
      <c r="G64" s="86"/>
      <c r="I64" s="91"/>
      <c r="J64" s="17"/>
      <c r="K64" s="42">
        <f>E64</f>
        <v>459.29253228523299</v>
      </c>
      <c r="L64" s="17" t="str">
        <f ca="1">_xlfn.FORMULATEXT(K64)</f>
        <v>=E64</v>
      </c>
      <c r="M64" s="45">
        <f>E64*(1-'Partial Budget'!E18/100)</f>
        <v>428.51993262212238</v>
      </c>
      <c r="N64" s="17" t="str">
        <f ca="1">_xlfn.FORMULATEXT(M64)</f>
        <v>=E64*(1-'Partial Budget'!E18/100)</v>
      </c>
    </row>
    <row r="65" spans="2:14" x14ac:dyDescent="0.25">
      <c r="B65" s="1" t="s">
        <v>92</v>
      </c>
      <c r="C65" s="1" t="s">
        <v>93</v>
      </c>
      <c r="E65" s="94">
        <f>E54*E64</f>
        <v>169735</v>
      </c>
      <c r="F65" s="17" t="str">
        <f ca="1">_xlfn.FORMULATEXT(E65)</f>
        <v>=E54*E64</v>
      </c>
      <c r="G65" s="86"/>
      <c r="I65" s="94">
        <f>K65+M65</f>
        <v>162897.91119340595</v>
      </c>
      <c r="J65" s="17" t="str">
        <f ca="1">_xlfn.FORMULATEXT(I65)</f>
        <v>=K65+M65</v>
      </c>
      <c r="K65" s="95">
        <f>K54*K64</f>
        <v>142577.4</v>
      </c>
      <c r="L65" s="17" t="str">
        <f ca="1">_xlfn.FORMULATEXT(K65)</f>
        <v>=K54*K64</v>
      </c>
      <c r="M65" s="95">
        <f>M54*M64</f>
        <v>20320.511193405953</v>
      </c>
      <c r="N65" s="17" t="str">
        <f ca="1">_xlfn.FORMULATEXT(M65)</f>
        <v>=M54*M64</v>
      </c>
    </row>
    <row r="66" spans="2:14" x14ac:dyDescent="0.25">
      <c r="F66" s="17"/>
      <c r="G66" s="86"/>
      <c r="J66" s="17"/>
      <c r="L66" s="17"/>
      <c r="N66" s="17"/>
    </row>
    <row r="67" spans="2:14" x14ac:dyDescent="0.25">
      <c r="F67" s="17"/>
      <c r="G67" s="86"/>
      <c r="J67" s="17"/>
      <c r="L67" s="17"/>
      <c r="N67" s="17"/>
    </row>
    <row r="68" spans="2:14" x14ac:dyDescent="0.25">
      <c r="B68" s="55" t="s">
        <v>17</v>
      </c>
      <c r="C68" s="56"/>
      <c r="D68" s="56"/>
      <c r="E68" s="56"/>
      <c r="F68" s="59"/>
      <c r="G68" s="85"/>
      <c r="H68" s="56"/>
      <c r="I68" s="56"/>
      <c r="J68" s="59"/>
      <c r="K68" s="56"/>
      <c r="L68" s="59"/>
      <c r="M68" s="56"/>
      <c r="N68" s="59"/>
    </row>
    <row r="69" spans="2:14" x14ac:dyDescent="0.25">
      <c r="B69" s="2"/>
      <c r="F69" s="17"/>
      <c r="G69" s="86"/>
      <c r="J69" s="17"/>
      <c r="L69" s="17"/>
      <c r="N69" s="17"/>
    </row>
    <row r="70" spans="2:14" x14ac:dyDescent="0.25">
      <c r="B70" s="1" t="str">
        <f>'Dairy parameter'!A8</f>
        <v>Replacement rate</v>
      </c>
      <c r="C70" s="1" t="s">
        <v>3</v>
      </c>
      <c r="D70" s="1" t="s">
        <v>394</v>
      </c>
      <c r="E70" s="19">
        <f>'Dairy parameter'!C8</f>
        <v>0.219</v>
      </c>
      <c r="F70" s="17" t="str">
        <f ca="1">_xlfn.FORMULATEXT(E70)</f>
        <v>='Dairy parameter'!C8</v>
      </c>
      <c r="G70" s="86"/>
      <c r="I70" s="19">
        <f>E70</f>
        <v>0.219</v>
      </c>
      <c r="J70" s="17" t="str">
        <f ca="1">_xlfn.FORMULATEXT(I70)</f>
        <v>=E70</v>
      </c>
      <c r="K70" s="91"/>
      <c r="L70" s="17"/>
      <c r="M70" s="91"/>
      <c r="N70" s="17"/>
    </row>
    <row r="71" spans="2:14" x14ac:dyDescent="0.25">
      <c r="B71" s="2"/>
      <c r="E71" s="91"/>
      <c r="F71" s="18"/>
      <c r="G71" s="86"/>
      <c r="I71" s="91"/>
      <c r="L71" s="17"/>
      <c r="N71" s="17"/>
    </row>
    <row r="72" spans="2:14" x14ac:dyDescent="0.25">
      <c r="B72" s="2" t="s">
        <v>428</v>
      </c>
      <c r="F72" s="16"/>
      <c r="G72" s="86"/>
      <c r="L72" s="17"/>
      <c r="N72" s="17"/>
    </row>
    <row r="73" spans="2:14" x14ac:dyDescent="0.25">
      <c r="B73" s="11" t="str">
        <f>'Dairy parameter'!A3</f>
        <v>Mortality rate in MA cows</v>
      </c>
      <c r="C73" s="1" t="s">
        <v>3</v>
      </c>
      <c r="D73" s="1" t="s">
        <v>394</v>
      </c>
      <c r="E73" s="19">
        <f>'Dairy parameter'!C3</f>
        <v>2.1000000000000001E-2</v>
      </c>
      <c r="F73" s="17" t="str">
        <f ca="1">_xlfn.FORMULATEXT(E73)</f>
        <v>='Dairy parameter'!C3</v>
      </c>
      <c r="G73" s="86"/>
      <c r="I73" s="17"/>
      <c r="J73" s="17"/>
      <c r="K73" s="47">
        <f>E73</f>
        <v>2.1000000000000001E-2</v>
      </c>
      <c r="L73" s="17" t="str">
        <f ca="1">_xlfn.FORMULATEXT(K73)</f>
        <v>=E73</v>
      </c>
      <c r="M73" s="49">
        <f>MIN(E73+'Partial Budget'!$E$12/100,1)</f>
        <v>2.1000000000000001E-2</v>
      </c>
      <c r="N73" s="17" t="str">
        <f ca="1">_xlfn.FORMULATEXT(M73)</f>
        <v>=MIN(E73+'Partial Budget'!$E$12/100,1)</v>
      </c>
    </row>
    <row r="74" spans="2:14" x14ac:dyDescent="0.25">
      <c r="B74" s="11" t="str">
        <f>'Dairy parameter'!A4</f>
        <v>Mortality rate in R2 heifers</v>
      </c>
      <c r="C74" s="1" t="s">
        <v>3</v>
      </c>
      <c r="D74" s="1" t="s">
        <v>394</v>
      </c>
      <c r="E74" s="19">
        <f>'Dairy parameter'!C4</f>
        <v>2.8000000000000001E-2</v>
      </c>
      <c r="F74" s="17" t="str">
        <f ca="1">_xlfn.FORMULATEXT(E74)</f>
        <v>='Dairy parameter'!C4</v>
      </c>
      <c r="G74" s="86"/>
      <c r="I74" s="17"/>
      <c r="J74" s="17"/>
      <c r="K74" s="47">
        <f>E74</f>
        <v>2.8000000000000001E-2</v>
      </c>
      <c r="L74" s="17" t="str">
        <f ca="1">_xlfn.FORMULATEXT(K74)</f>
        <v>=E74</v>
      </c>
      <c r="M74" s="49">
        <f>MIN(E74+'Partial Budget'!$E$12/100,1)</f>
        <v>2.8000000000000001E-2</v>
      </c>
      <c r="N74" s="17" t="str">
        <f ca="1">_xlfn.FORMULATEXT(M74)</f>
        <v>=MIN(E74+'Partial Budget'!$E$12/100,1)</v>
      </c>
    </row>
    <row r="75" spans="2:14" x14ac:dyDescent="0.25">
      <c r="B75" s="11" t="str">
        <f>'Dairy parameter'!A5</f>
        <v>Mortality rate in calves / R1 heifers</v>
      </c>
      <c r="C75" s="1" t="s">
        <v>3</v>
      </c>
      <c r="D75" s="1" t="s">
        <v>394</v>
      </c>
      <c r="E75" s="19">
        <f>'Dairy parameter'!C5</f>
        <v>0.111</v>
      </c>
      <c r="F75" s="17" t="str">
        <f ca="1">_xlfn.FORMULATEXT(E75)</f>
        <v>='Dairy parameter'!C5</v>
      </c>
      <c r="G75" s="86"/>
      <c r="I75" s="17"/>
      <c r="J75" s="17"/>
      <c r="K75" s="47">
        <f>E75</f>
        <v>0.111</v>
      </c>
      <c r="L75" s="17" t="str">
        <f ca="1">_xlfn.FORMULATEXT(K75)</f>
        <v>=E75</v>
      </c>
      <c r="M75" s="49">
        <f>MIN(E75+'Partial Budget'!$E$13/100,1)</f>
        <v>0.13600000000000001</v>
      </c>
      <c r="N75" s="17" t="str">
        <f ca="1">_xlfn.FORMULATEXT(M75)</f>
        <v>=MIN(E75+'Partial Budget'!$E$13/100,1)</v>
      </c>
    </row>
    <row r="76" spans="2:14" x14ac:dyDescent="0.25">
      <c r="F76" s="16"/>
      <c r="G76" s="86"/>
      <c r="L76" s="17"/>
      <c r="N76" s="17"/>
    </row>
    <row r="77" spans="2:14" x14ac:dyDescent="0.25">
      <c r="B77" s="2" t="s">
        <v>94</v>
      </c>
      <c r="F77" s="16"/>
      <c r="G77" s="86"/>
      <c r="L77" s="17"/>
      <c r="N77" s="17"/>
    </row>
    <row r="78" spans="2:14" x14ac:dyDescent="0.25">
      <c r="B78" s="11" t="str">
        <f>'Dairy parameter'!A6</f>
        <v>Not-in-calf rate</v>
      </c>
      <c r="C78" s="1" t="s">
        <v>3</v>
      </c>
      <c r="D78" s="1" t="s">
        <v>394</v>
      </c>
      <c r="E78" s="19">
        <f>'Dairy parameter'!C6</f>
        <v>0.16</v>
      </c>
      <c r="F78" s="17" t="str">
        <f ca="1">_xlfn.FORMULATEXT(E78)</f>
        <v>='Dairy parameter'!C6</v>
      </c>
      <c r="G78" s="86"/>
      <c r="I78" s="17"/>
      <c r="J78" s="17"/>
      <c r="K78" s="47">
        <f>E78</f>
        <v>0.16</v>
      </c>
      <c r="L78" s="17" t="str">
        <f ca="1">_xlfn.FORMULATEXT(K78)</f>
        <v>=E78</v>
      </c>
      <c r="M78" s="49">
        <f>MIN(E78+'Partial Budget'!E16/100,1)</f>
        <v>0.48</v>
      </c>
      <c r="N78" s="17" t="str">
        <f ca="1">_xlfn.FORMULATEXT(M78)</f>
        <v>=MIN(E78+'Partial Budget'!E16/100,1)</v>
      </c>
    </row>
    <row r="79" spans="2:14" x14ac:dyDescent="0.25">
      <c r="B79" s="11" t="str">
        <f>'Dairy parameter'!A7</f>
        <v>Abortion/sillbirth rate</v>
      </c>
      <c r="C79" s="1" t="s">
        <v>3</v>
      </c>
      <c r="D79" s="1" t="s">
        <v>394</v>
      </c>
      <c r="E79" s="19">
        <f>'Dairy parameter'!C7</f>
        <v>3.5999999999999997E-2</v>
      </c>
      <c r="F79" s="17" t="str">
        <f ca="1">_xlfn.FORMULATEXT(E79)</f>
        <v>='Dairy parameter'!C7</v>
      </c>
      <c r="G79" s="86"/>
      <c r="I79" s="17"/>
      <c r="J79" s="17"/>
      <c r="K79" s="47">
        <f>E79</f>
        <v>3.5999999999999997E-2</v>
      </c>
      <c r="L79" s="17" t="str">
        <f ca="1">_xlfn.FORMULATEXT(K79)</f>
        <v>=E79</v>
      </c>
      <c r="M79" s="50">
        <f>MIN(E79+'Partial Budget'!E15/100,1)</f>
        <v>0.121</v>
      </c>
      <c r="N79" s="17" t="str">
        <f ca="1">_xlfn.FORMULATEXT(M79)</f>
        <v>=MIN(E79+'Partial Budget'!E15/100,1)</v>
      </c>
    </row>
    <row r="80" spans="2:14" x14ac:dyDescent="0.25">
      <c r="F80" s="17"/>
      <c r="G80" s="86"/>
      <c r="I80" s="91"/>
      <c r="K80" s="91"/>
      <c r="L80" s="17"/>
      <c r="M80" s="91"/>
      <c r="N80" s="17"/>
    </row>
    <row r="81" spans="2:14" x14ac:dyDescent="0.25">
      <c r="B81" s="2" t="s">
        <v>173</v>
      </c>
      <c r="F81" s="17"/>
      <c r="G81" s="86"/>
      <c r="I81" s="91"/>
      <c r="K81" s="91"/>
      <c r="L81" s="17"/>
      <c r="M81" s="91"/>
      <c r="N81" s="17"/>
    </row>
    <row r="82" spans="2:14" x14ac:dyDescent="0.25">
      <c r="B82" s="1" t="s">
        <v>385</v>
      </c>
      <c r="D82" s="1" t="s">
        <v>394</v>
      </c>
      <c r="E82" s="19">
        <f>'Dairy parameter'!C12</f>
        <v>0.28000000000000003</v>
      </c>
      <c r="F82" s="17" t="str">
        <f t="shared" ref="F82:F86" ca="1" si="9">_xlfn.FORMULATEXT(E82)</f>
        <v>='Dairy parameter'!C12</v>
      </c>
      <c r="G82" s="86"/>
      <c r="I82" s="91"/>
      <c r="J82" s="17"/>
      <c r="K82" s="97">
        <f>E82</f>
        <v>0.28000000000000003</v>
      </c>
      <c r="L82" s="17" t="str">
        <f t="shared" ref="L82:L86" ca="1" si="10">_xlfn.FORMULATEXT(K82)</f>
        <v>=E82</v>
      </c>
      <c r="M82" s="98">
        <f>E82</f>
        <v>0.28000000000000003</v>
      </c>
      <c r="N82" s="17" t="str">
        <f t="shared" ref="N82:N86" ca="1" si="11">_xlfn.FORMULATEXT(M82)</f>
        <v>=E82</v>
      </c>
    </row>
    <row r="83" spans="2:14" x14ac:dyDescent="0.25">
      <c r="B83" s="1" t="s">
        <v>398</v>
      </c>
      <c r="E83" s="14">
        <f>E36*E82</f>
        <v>90.752200000000016</v>
      </c>
      <c r="F83" s="17" t="str">
        <f t="shared" ca="1" si="9"/>
        <v>=E36*E82</v>
      </c>
      <c r="G83" s="86"/>
      <c r="I83" s="31">
        <f>K83+M83</f>
        <v>84.195173439999976</v>
      </c>
      <c r="J83" s="17" t="str">
        <f t="shared" ref="J83:J84" ca="1" si="12">_xlfn.FORMULATEXT(I83)</f>
        <v>=K83+M83</v>
      </c>
      <c r="K83" s="42">
        <f>K36*K82</f>
        <v>64.034752319999981</v>
      </c>
      <c r="L83" s="17" t="str">
        <f t="shared" ca="1" si="10"/>
        <v>=K36*K82</v>
      </c>
      <c r="M83" s="42">
        <f>M36*M82</f>
        <v>20.160421119999999</v>
      </c>
      <c r="N83" s="17" t="str">
        <f t="shared" ca="1" si="11"/>
        <v>=M36*M82</v>
      </c>
    </row>
    <row r="84" spans="2:14" x14ac:dyDescent="0.25">
      <c r="B84" s="1" t="s">
        <v>402</v>
      </c>
      <c r="E84" s="99">
        <f>E83*(1-E75)</f>
        <v>80.678705800000017</v>
      </c>
      <c r="F84" s="17" t="str">
        <f t="shared" ca="1" si="9"/>
        <v>=E83*(1-E75)</v>
      </c>
      <c r="G84" s="86"/>
      <c r="I84" s="100">
        <f>K84+M84</f>
        <v>74.34549866015999</v>
      </c>
      <c r="J84" s="17" t="str">
        <f t="shared" ca="1" si="12"/>
        <v>=K84+M84</v>
      </c>
      <c r="K84" s="101">
        <f>K83*(1-K75)</f>
        <v>56.926894812479986</v>
      </c>
      <c r="L84" s="17" t="str">
        <f t="shared" ca="1" si="10"/>
        <v>=K83*(1-K75)</v>
      </c>
      <c r="M84" s="101">
        <f>M83*(1-M75)</f>
        <v>17.41860384768</v>
      </c>
      <c r="N84" s="17" t="str">
        <f t="shared" ca="1" si="11"/>
        <v>=M83*(1-M75)</v>
      </c>
    </row>
    <row r="85" spans="2:14" x14ac:dyDescent="0.25">
      <c r="B85" s="1" t="str">
        <f>'Dairy parameter'!A9</f>
        <v>Proportion of bobby calves</v>
      </c>
      <c r="D85" s="1" t="s">
        <v>394</v>
      </c>
      <c r="E85" s="19">
        <f>'Dairy parameter'!C9</f>
        <v>0.35</v>
      </c>
      <c r="F85" s="17" t="str">
        <f t="shared" ca="1" si="9"/>
        <v>='Dairy parameter'!C9</v>
      </c>
      <c r="G85" s="86"/>
      <c r="I85" s="17"/>
      <c r="J85" s="17"/>
      <c r="K85" s="97">
        <f>E85</f>
        <v>0.35</v>
      </c>
      <c r="L85" s="17" t="str">
        <f t="shared" ca="1" si="10"/>
        <v>=E85</v>
      </c>
      <c r="M85" s="97">
        <f>E85</f>
        <v>0.35</v>
      </c>
      <c r="N85" s="17" t="str">
        <f t="shared" ca="1" si="11"/>
        <v>=E85</v>
      </c>
    </row>
    <row r="86" spans="2:14" x14ac:dyDescent="0.25">
      <c r="B86" s="1" t="s">
        <v>400</v>
      </c>
      <c r="E86" s="19">
        <f>1-E82-E85</f>
        <v>0.37</v>
      </c>
      <c r="F86" s="17" t="str">
        <f t="shared" ca="1" si="9"/>
        <v>=1-E82-E85</v>
      </c>
      <c r="G86" s="86"/>
      <c r="I86" s="17"/>
      <c r="J86" s="17"/>
      <c r="K86" s="102">
        <f>E86</f>
        <v>0.37</v>
      </c>
      <c r="L86" s="17" t="str">
        <f t="shared" ca="1" si="10"/>
        <v>=E86</v>
      </c>
      <c r="M86" s="102">
        <f>E86</f>
        <v>0.37</v>
      </c>
      <c r="N86" s="17" t="str">
        <f t="shared" ca="1" si="11"/>
        <v>=E86</v>
      </c>
    </row>
    <row r="87" spans="2:14" x14ac:dyDescent="0.25">
      <c r="F87" s="17"/>
      <c r="G87" s="86"/>
      <c r="I87" s="17"/>
      <c r="J87" s="17"/>
      <c r="L87" s="17"/>
      <c r="N87" s="17"/>
    </row>
    <row r="88" spans="2:14" x14ac:dyDescent="0.25">
      <c r="B88" s="2" t="s">
        <v>107</v>
      </c>
      <c r="E88" s="9"/>
      <c r="F88" s="16"/>
      <c r="G88" s="86"/>
      <c r="I88" s="9"/>
      <c r="K88" s="9"/>
      <c r="L88" s="92"/>
      <c r="M88" s="9"/>
      <c r="N88" s="92"/>
    </row>
    <row r="89" spans="2:14" x14ac:dyDescent="0.25">
      <c r="B89" s="1" t="s">
        <v>395</v>
      </c>
      <c r="C89" s="1" t="s">
        <v>3</v>
      </c>
      <c r="E89" s="19">
        <f>E78+(1-E78)*E79</f>
        <v>0.19023999999999999</v>
      </c>
      <c r="F89" s="17" t="str">
        <f ca="1">_xlfn.FORMULATEXT(E89)</f>
        <v>=E78+(1-E78)*E79</v>
      </c>
      <c r="G89" s="86"/>
      <c r="K89" s="51">
        <f>K78+(1-K78)*K79</f>
        <v>0.19023999999999999</v>
      </c>
      <c r="L89" s="17" t="str">
        <f ca="1">_xlfn.FORMULATEXT(K89)</f>
        <v>=K78+(1-K78)*K79</v>
      </c>
      <c r="M89" s="49">
        <f>M78+(1-M78)*M79</f>
        <v>0.54291999999999996</v>
      </c>
      <c r="N89" s="17" t="str">
        <f ca="1">_xlfn.FORMULATEXT(M89)</f>
        <v>=M78+(1-M78)*M79</v>
      </c>
    </row>
    <row r="90" spans="2:14" x14ac:dyDescent="0.25">
      <c r="B90" s="1" t="s">
        <v>377</v>
      </c>
      <c r="C90" s="1" t="s">
        <v>3</v>
      </c>
      <c r="E90" s="19">
        <f>E91-E89</f>
        <v>7.7600000000000169E-3</v>
      </c>
      <c r="F90" s="17" t="str">
        <f ca="1">_xlfn.FORMULATEXT(E90)</f>
        <v>=E91-E89</v>
      </c>
      <c r="G90" s="86"/>
      <c r="I90" s="17"/>
      <c r="J90" s="16"/>
      <c r="K90" s="51">
        <f>E90</f>
        <v>7.7600000000000169E-3</v>
      </c>
      <c r="L90" s="17" t="str">
        <f ca="1">_xlfn.FORMULATEXT(K90)</f>
        <v>=E90</v>
      </c>
      <c r="M90" s="49">
        <f>E90+'Partial Budget'!E21/100</f>
        <v>7.7600000000000169E-3</v>
      </c>
      <c r="N90" s="17" t="str">
        <f ca="1">_xlfn.FORMULATEXT(M90)</f>
        <v>=E90+'Partial Budget'!E21/100</v>
      </c>
    </row>
    <row r="91" spans="2:14" x14ac:dyDescent="0.25">
      <c r="B91" s="1" t="s">
        <v>384</v>
      </c>
      <c r="C91" s="1" t="s">
        <v>3</v>
      </c>
      <c r="E91" s="19">
        <f>E70-E73</f>
        <v>0.19800000000000001</v>
      </c>
      <c r="F91" s="17" t="str">
        <f ca="1">_xlfn.FORMULATEXT(E91)</f>
        <v>=E70-E73</v>
      </c>
      <c r="G91" s="86"/>
      <c r="I91" s="17"/>
      <c r="J91" s="16"/>
      <c r="K91" s="47">
        <f>K89+K90</f>
        <v>0.19800000000000001</v>
      </c>
      <c r="L91" s="17" t="str">
        <f ca="1">_xlfn.FORMULATEXT(K91)</f>
        <v>=K89+K90</v>
      </c>
      <c r="M91" s="49">
        <f>M89+M90</f>
        <v>0.55067999999999995</v>
      </c>
      <c r="N91" s="17" t="str">
        <f ca="1">_xlfn.FORMULATEXT(M91)</f>
        <v>=M89+M90</v>
      </c>
    </row>
    <row r="92" spans="2:14" x14ac:dyDescent="0.25">
      <c r="E92" s="92"/>
      <c r="F92" s="16"/>
      <c r="G92" s="86"/>
      <c r="I92" s="92"/>
      <c r="K92" s="92"/>
      <c r="M92" s="92"/>
    </row>
    <row r="93" spans="2:14" x14ac:dyDescent="0.25">
      <c r="B93" s="1" t="s">
        <v>397</v>
      </c>
      <c r="C93" s="1" t="s">
        <v>3</v>
      </c>
      <c r="E93" s="19">
        <f>E91</f>
        <v>0.19800000000000001</v>
      </c>
      <c r="F93" s="17" t="str">
        <f ca="1">_xlfn.FORMULATEXT(E93)</f>
        <v>=E91</v>
      </c>
      <c r="G93" s="86"/>
      <c r="I93" s="19">
        <f>E93</f>
        <v>0.19800000000000001</v>
      </c>
      <c r="J93" s="17" t="str">
        <f ca="1">_xlfn.FORMULATEXT(I93)</f>
        <v>=E93</v>
      </c>
      <c r="K93" s="47">
        <f>K91</f>
        <v>0.19800000000000001</v>
      </c>
      <c r="L93" s="17" t="str">
        <f ca="1">_xlfn.FORMULATEXT(K93)</f>
        <v>=K91</v>
      </c>
      <c r="M93" s="51">
        <f>M91</f>
        <v>0.55067999999999995</v>
      </c>
      <c r="N93" s="17" t="str">
        <f ca="1">_xlfn.FORMULATEXT(M93)</f>
        <v>=M91</v>
      </c>
    </row>
    <row r="94" spans="2:14" x14ac:dyDescent="0.25">
      <c r="F94" s="17"/>
      <c r="G94" s="86"/>
      <c r="I94" s="40"/>
      <c r="J94" s="17"/>
      <c r="K94" s="40"/>
      <c r="L94" s="17"/>
      <c r="M94" s="40"/>
      <c r="N94" s="17"/>
    </row>
    <row r="95" spans="2:14" x14ac:dyDescent="0.25">
      <c r="B95" s="1" t="s">
        <v>403</v>
      </c>
      <c r="E95" s="100">
        <f>E35*(1-E93-E74)</f>
        <v>90.885000000000005</v>
      </c>
      <c r="F95" s="17" t="str">
        <f t="shared" ref="F95:F96" ca="1" si="13">_xlfn.FORMULATEXT(E95)</f>
        <v>=E35*(1-E93-E74)</v>
      </c>
      <c r="G95" s="86"/>
      <c r="I95" s="100">
        <f>K95+M95</f>
        <v>84.258990325581394</v>
      </c>
      <c r="J95" s="17" t="str">
        <f t="shared" ref="J95:J96" ca="1" si="14">_xlfn.FORMULATEXT(I95)</f>
        <v>=K95+M95</v>
      </c>
      <c r="K95" s="101">
        <f>K35*(1-K93-K74)</f>
        <v>76.343400000000003</v>
      </c>
      <c r="L95" s="17" t="str">
        <f ca="1">_xlfn.FORMULATEXT(K95)</f>
        <v>=K35*(1-K93-K74)</v>
      </c>
      <c r="M95" s="101">
        <f>M35*(1-M93-M74)</f>
        <v>7.9155903255813955</v>
      </c>
      <c r="N95" s="17" t="str">
        <f ca="1">_xlfn.FORMULATEXT(M95)</f>
        <v>=M35*(1-M93-M74)</v>
      </c>
    </row>
    <row r="96" spans="2:14" x14ac:dyDescent="0.25">
      <c r="B96" s="1" t="s">
        <v>401</v>
      </c>
      <c r="E96" s="100">
        <f>E34*E70</f>
        <v>90.885000000000005</v>
      </c>
      <c r="F96" s="17" t="str">
        <f t="shared" ca="1" si="13"/>
        <v>=E34*E70</v>
      </c>
      <c r="G96" s="86"/>
      <c r="I96" s="100">
        <f>I34*I70</f>
        <v>90.885000000000005</v>
      </c>
      <c r="J96" s="17" t="str">
        <f t="shared" ca="1" si="14"/>
        <v>=I34*I70</v>
      </c>
      <c r="K96" s="17"/>
      <c r="L96" s="17"/>
      <c r="M96" s="17"/>
      <c r="N96" s="17"/>
    </row>
    <row r="97" spans="2:14" x14ac:dyDescent="0.25">
      <c r="B97" s="1" t="s">
        <v>420</v>
      </c>
      <c r="E97" s="109">
        <f>1/(1-(E73+E91)/2)</f>
        <v>1.1229646266142617</v>
      </c>
      <c r="F97" s="17" t="str">
        <f ca="1">_xlfn.FORMULATEXT(E97)</f>
        <v>=1/(1-(E73+E91)/2)</v>
      </c>
      <c r="G97" s="86"/>
      <c r="I97" s="91"/>
      <c r="J97" s="17"/>
      <c r="K97" s="17"/>
      <c r="L97" s="17"/>
      <c r="M97" s="17"/>
      <c r="N97" s="17"/>
    </row>
    <row r="98" spans="2:14" x14ac:dyDescent="0.25">
      <c r="B98" s="1" t="s">
        <v>431</v>
      </c>
      <c r="E98" s="110">
        <f>1/(1+2*E70)</f>
        <v>0.69541029207232274</v>
      </c>
      <c r="F98" s="17" t="str">
        <f ca="1">_xlfn.FORMULATEXT(E98)</f>
        <v>=1/(1+2*E70)</v>
      </c>
      <c r="G98" s="86"/>
      <c r="I98" s="91"/>
      <c r="J98" s="17"/>
      <c r="K98" s="17"/>
      <c r="L98" s="17"/>
      <c r="M98" s="17"/>
      <c r="N98" s="17"/>
    </row>
    <row r="99" spans="2:14" x14ac:dyDescent="0.25">
      <c r="B99" s="2"/>
      <c r="E99" s="91"/>
      <c r="F99" s="18"/>
      <c r="G99" s="86"/>
      <c r="I99" s="91"/>
      <c r="K99" s="91"/>
      <c r="L99" s="17"/>
      <c r="M99" s="91"/>
      <c r="N99" s="17"/>
    </row>
    <row r="100" spans="2:14" x14ac:dyDescent="0.25">
      <c r="B100" s="55" t="s">
        <v>108</v>
      </c>
      <c r="C100" s="56"/>
      <c r="D100" s="56"/>
      <c r="E100" s="56"/>
      <c r="F100" s="57"/>
      <c r="G100" s="85"/>
      <c r="H100" s="56"/>
      <c r="I100" s="56"/>
      <c r="J100" s="56"/>
      <c r="K100" s="56"/>
      <c r="L100" s="56"/>
      <c r="M100" s="56"/>
      <c r="N100" s="56"/>
    </row>
    <row r="101" spans="2:14" x14ac:dyDescent="0.25">
      <c r="B101" s="2"/>
      <c r="F101" s="16"/>
      <c r="G101" s="86"/>
    </row>
    <row r="102" spans="2:14" x14ac:dyDescent="0.25">
      <c r="B102" s="1" t="str">
        <f>'Dairy parameter'!A15</f>
        <v>Milk price</v>
      </c>
      <c r="C102" s="1" t="s">
        <v>5</v>
      </c>
      <c r="E102" s="25">
        <f>'Dairy parameter'!C15</f>
        <v>7.05</v>
      </c>
      <c r="F102" s="17" t="str">
        <f ca="1">_xlfn.FORMULATEXT(E102)</f>
        <v>='Dairy parameter'!C15</v>
      </c>
      <c r="G102" s="86"/>
      <c r="I102" s="25">
        <f>E102</f>
        <v>7.05</v>
      </c>
      <c r="J102" s="17" t="str">
        <f ca="1">_xlfn.FORMULATEXT(I102)</f>
        <v>=E102</v>
      </c>
      <c r="K102" s="52">
        <f>E102</f>
        <v>7.05</v>
      </c>
      <c r="L102" s="17" t="str">
        <f ca="1">_xlfn.FORMULATEXT(K102)</f>
        <v>=E102</v>
      </c>
      <c r="M102" s="52">
        <f>E102</f>
        <v>7.05</v>
      </c>
      <c r="N102" s="17" t="str">
        <f ca="1">_xlfn.FORMULATEXT(M102)</f>
        <v>=E102</v>
      </c>
    </row>
    <row r="103" spans="2:14" x14ac:dyDescent="0.25">
      <c r="F103" s="16"/>
      <c r="G103" s="86"/>
      <c r="N103" s="17"/>
    </row>
    <row r="104" spans="2:14" x14ac:dyDescent="0.25">
      <c r="B104" s="1" t="str">
        <f>'Dairy parameter'!A16</f>
        <v>Market value of MA cows</v>
      </c>
      <c r="C104" s="1" t="s">
        <v>6</v>
      </c>
      <c r="E104" s="26">
        <f>'Dairy parameter'!C16</f>
        <v>1525</v>
      </c>
      <c r="F104" s="17" t="str">
        <f ca="1">_xlfn.FORMULATEXT(E104)</f>
        <v>='Dairy parameter'!C16</v>
      </c>
      <c r="G104" s="86"/>
      <c r="K104" s="53">
        <f>E104</f>
        <v>1525</v>
      </c>
      <c r="L104" s="17" t="str">
        <f ca="1">_xlfn.FORMULATEXT(K104)</f>
        <v>=E104</v>
      </c>
      <c r="M104" s="54">
        <f>E104*(1-'Partial Budget'!$E$20/100)</f>
        <v>1521.95</v>
      </c>
      <c r="N104" s="17" t="str">
        <f ca="1">_xlfn.FORMULATEXT(M104)</f>
        <v>=E104*(1-'Partial Budget'!$E$20/100)</v>
      </c>
    </row>
    <row r="105" spans="2:14" x14ac:dyDescent="0.25">
      <c r="B105" s="1" t="str">
        <f>'Dairy parameter'!A17</f>
        <v>Market value of R2 heifers</v>
      </c>
      <c r="C105" s="1" t="s">
        <v>6</v>
      </c>
      <c r="E105" s="26">
        <f>'Dairy parameter'!C17</f>
        <v>1222</v>
      </c>
      <c r="F105" s="17" t="str">
        <f ca="1">_xlfn.FORMULATEXT(E105)</f>
        <v>='Dairy parameter'!C17</v>
      </c>
      <c r="G105" s="86"/>
      <c r="K105" s="53">
        <f>E105</f>
        <v>1222</v>
      </c>
      <c r="L105" s="17" t="str">
        <f ca="1">_xlfn.FORMULATEXT(K105)</f>
        <v>=E105</v>
      </c>
      <c r="M105" s="54">
        <f>E105*(1-'Partial Budget'!$E$20/100)</f>
        <v>1219.556</v>
      </c>
      <c r="N105" s="17" t="str">
        <f ca="1">_xlfn.FORMULATEXT(M105)</f>
        <v>=E105*(1-'Partial Budget'!$E$20/100)</v>
      </c>
    </row>
    <row r="106" spans="2:14" x14ac:dyDescent="0.25">
      <c r="B106" s="1" t="s">
        <v>277</v>
      </c>
      <c r="C106" s="1" t="s">
        <v>6</v>
      </c>
      <c r="E106" s="26">
        <f>'Dairy parameter'!C35</f>
        <v>737</v>
      </c>
      <c r="F106" s="17" t="str">
        <f ca="1">_xlfn.FORMULATEXT(E106)</f>
        <v>='Dairy parameter'!C35</v>
      </c>
      <c r="G106" s="86"/>
      <c r="K106" s="53">
        <f>E106</f>
        <v>737</v>
      </c>
      <c r="L106" s="17" t="str">
        <f ca="1">_xlfn.FORMULATEXT(K106)</f>
        <v>=E106</v>
      </c>
      <c r="M106" s="54">
        <f>E106*(1-'Partial Budget'!$E$20/100)</f>
        <v>735.52599999999995</v>
      </c>
      <c r="N106" s="17" t="str">
        <f ca="1">_xlfn.FORMULATEXT(M106)</f>
        <v>=E106*(1-'Partial Budget'!$E$20/100)</v>
      </c>
    </row>
    <row r="107" spans="2:14" x14ac:dyDescent="0.25">
      <c r="B107" s="1" t="str">
        <f>'Dairy parameter'!A18</f>
        <v>Market value of beef x dairy cross R1 heifers/steers/bulls</v>
      </c>
      <c r="C107" s="1" t="s">
        <v>6</v>
      </c>
      <c r="E107" s="26">
        <f>'Dairy parameter'!C18</f>
        <v>602</v>
      </c>
      <c r="F107" s="17" t="str">
        <f ca="1">_xlfn.FORMULATEXT(E107)</f>
        <v>='Dairy parameter'!C18</v>
      </c>
      <c r="G107" s="86"/>
      <c r="K107" s="53">
        <f>E107</f>
        <v>602</v>
      </c>
      <c r="L107" s="17" t="str">
        <f ca="1">_xlfn.FORMULATEXT(K107)</f>
        <v>=E107</v>
      </c>
      <c r="M107" s="54">
        <f>E107*(1-'Partial Budget'!$E$20/100)</f>
        <v>600.79600000000005</v>
      </c>
      <c r="N107" s="17" t="str">
        <f ca="1">_xlfn.FORMULATEXT(M107)</f>
        <v>=E107*(1-'Partial Budget'!$E$20/100)</v>
      </c>
    </row>
    <row r="108" spans="2:14" x14ac:dyDescent="0.25">
      <c r="F108" s="16"/>
      <c r="G108" s="86"/>
      <c r="I108" s="29"/>
      <c r="M108" s="29"/>
      <c r="N108" s="17"/>
    </row>
    <row r="109" spans="2:14" x14ac:dyDescent="0.25">
      <c r="B109" s="1" t="str">
        <f>'Dairy parameter'!A19</f>
        <v>Cull price of MA cows</v>
      </c>
      <c r="C109" s="1" t="s">
        <v>6</v>
      </c>
      <c r="E109" s="26">
        <f>'Dairy parameter'!C19</f>
        <v>926.74</v>
      </c>
      <c r="F109" s="17" t="str">
        <f ca="1">_xlfn.FORMULATEXT(E109)</f>
        <v>='Dairy parameter'!C19</v>
      </c>
      <c r="G109" s="86"/>
      <c r="J109" s="17"/>
      <c r="K109" s="53">
        <f>E109</f>
        <v>926.74</v>
      </c>
      <c r="L109" s="17" t="str">
        <f ca="1">_xlfn.FORMULATEXT(K109)</f>
        <v>=E109</v>
      </c>
      <c r="M109" s="54">
        <f>E109*(1-'Partial Budget'!$E$20/100)</f>
        <v>924.88652000000002</v>
      </c>
      <c r="N109" s="17" t="str">
        <f ca="1">_xlfn.FORMULATEXT(M109)</f>
        <v>=E109*(1-'Partial Budget'!$E$20/100)</v>
      </c>
    </row>
    <row r="110" spans="2:14" x14ac:dyDescent="0.25">
      <c r="B110" s="1" t="str">
        <f>'Dairy parameter'!A20</f>
        <v>Cull price of R2 heifers</v>
      </c>
      <c r="C110" s="1" t="s">
        <v>6</v>
      </c>
      <c r="E110" s="26">
        <f>'Dairy parameter'!C20</f>
        <v>908.08</v>
      </c>
      <c r="F110" s="17" t="str">
        <f ca="1">_xlfn.FORMULATEXT(E110)</f>
        <v>='Dairy parameter'!C20</v>
      </c>
      <c r="G110" s="86"/>
      <c r="J110" s="17"/>
      <c r="K110" s="53">
        <f>E110</f>
        <v>908.08</v>
      </c>
      <c r="L110" s="17" t="str">
        <f ca="1">_xlfn.FORMULATEXT(K110)</f>
        <v>=E110</v>
      </c>
      <c r="M110" s="54">
        <f>E110*(1-'Partial Budget'!$E$20/100)</f>
        <v>906.26384000000007</v>
      </c>
      <c r="N110" s="17" t="str">
        <f ca="1">_xlfn.FORMULATEXT(M110)</f>
        <v>=E110*(1-'Partial Budget'!$E$20/100)</v>
      </c>
    </row>
    <row r="111" spans="2:14" x14ac:dyDescent="0.25">
      <c r="B111" s="1" t="str">
        <f>'Dairy parameter'!A21</f>
        <v>Cull price of bobby calves</v>
      </c>
      <c r="C111" s="1" t="s">
        <v>6</v>
      </c>
      <c r="E111" s="26">
        <f>'Dairy parameter'!C21</f>
        <v>30</v>
      </c>
      <c r="F111" s="17" t="str">
        <f ca="1">_xlfn.FORMULATEXT(E111)</f>
        <v>='Dairy parameter'!C21</v>
      </c>
      <c r="G111" s="86"/>
      <c r="J111" s="17"/>
      <c r="K111" s="53">
        <f>E111</f>
        <v>30</v>
      </c>
      <c r="L111" s="17" t="str">
        <f ca="1">_xlfn.FORMULATEXT(K111)</f>
        <v>=E111</v>
      </c>
      <c r="M111" s="54">
        <f>E111*(1-'Partial Budget'!$E$20/100)</f>
        <v>29.94</v>
      </c>
      <c r="N111" s="17" t="str">
        <f ca="1">_xlfn.FORMULATEXT(M111)</f>
        <v>=E111*(1-'Partial Budget'!$E$20/100)</v>
      </c>
    </row>
    <row r="112" spans="2:14" x14ac:dyDescent="0.25">
      <c r="F112" s="16"/>
      <c r="G112" s="86"/>
      <c r="L112" s="17"/>
      <c r="N112" s="17"/>
    </row>
    <row r="113" spans="2:14" x14ac:dyDescent="0.25">
      <c r="B113" s="55" t="s">
        <v>64</v>
      </c>
      <c r="C113" s="56"/>
      <c r="D113" s="56"/>
      <c r="E113" s="56"/>
      <c r="F113" s="57"/>
      <c r="G113" s="85"/>
      <c r="H113" s="56"/>
      <c r="I113" s="56"/>
      <c r="J113" s="56"/>
      <c r="K113" s="56"/>
      <c r="L113" s="56"/>
      <c r="M113" s="56"/>
      <c r="N113" s="56"/>
    </row>
    <row r="114" spans="2:14" x14ac:dyDescent="0.25">
      <c r="F114" s="16"/>
      <c r="G114" s="86"/>
      <c r="L114" s="17"/>
      <c r="N114" s="17"/>
    </row>
    <row r="115" spans="2:14" x14ac:dyDescent="0.25">
      <c r="B115" s="2" t="s">
        <v>10</v>
      </c>
      <c r="F115" s="16"/>
      <c r="G115" s="86"/>
      <c r="L115" s="17"/>
      <c r="N115" s="17"/>
    </row>
    <row r="116" spans="2:14" x14ac:dyDescent="0.25">
      <c r="B116" s="1" t="str">
        <f>'Dairy parameter'!A22</f>
        <v>Labour costs per MA cow</v>
      </c>
      <c r="C116" s="1" t="s">
        <v>6</v>
      </c>
      <c r="E116" s="26">
        <f>'Dairy parameter'!C22*E97</f>
        <v>308.81527231892198</v>
      </c>
      <c r="F116" s="17" t="str">
        <f ca="1">_xlfn.FORMULATEXT(E116)</f>
        <v>='Dairy parameter'!C22*E97</v>
      </c>
      <c r="G116" s="86"/>
      <c r="I116" s="26">
        <f>E116</f>
        <v>308.81527231892198</v>
      </c>
      <c r="J116" s="17" t="str">
        <f ca="1">_xlfn.FORMULATEXT(I116)</f>
        <v>=E116</v>
      </c>
    </row>
    <row r="117" spans="2:14" x14ac:dyDescent="0.25">
      <c r="B117" s="1" t="str">
        <f>'Dairy parameter'!A23</f>
        <v>Labour costs per R2 heifer</v>
      </c>
      <c r="C117" s="1" t="s">
        <v>6</v>
      </c>
      <c r="E117" s="26">
        <f>'Dairy parameter'!C23</f>
        <v>0</v>
      </c>
      <c r="F117" s="17" t="str">
        <f ca="1">_xlfn.FORMULATEXT(E117)</f>
        <v>='Dairy parameter'!C23</v>
      </c>
      <c r="G117" s="86"/>
      <c r="I117" s="26">
        <f>E117</f>
        <v>0</v>
      </c>
      <c r="J117" s="17" t="str">
        <f ca="1">_xlfn.FORMULATEXT(I117)</f>
        <v>=E117</v>
      </c>
    </row>
    <row r="118" spans="2:14" x14ac:dyDescent="0.25">
      <c r="B118" s="1" t="str">
        <f>'Dairy parameter'!A24</f>
        <v>Labour costs per calf / R1 heifer</v>
      </c>
      <c r="C118" s="1" t="s">
        <v>6</v>
      </c>
      <c r="E118" s="26">
        <f>'Dairy parameter'!C24</f>
        <v>68.75</v>
      </c>
      <c r="F118" s="17" t="str">
        <f ca="1">_xlfn.FORMULATEXT(E118)</f>
        <v>='Dairy parameter'!C24</v>
      </c>
      <c r="G118" s="86"/>
      <c r="I118" s="26">
        <f>E118</f>
        <v>68.75</v>
      </c>
      <c r="J118" s="17" t="str">
        <f ca="1">_xlfn.FORMULATEXT(I118)</f>
        <v>=E118</v>
      </c>
    </row>
    <row r="119" spans="2:14" x14ac:dyDescent="0.25">
      <c r="F119" s="16"/>
      <c r="G119" s="86"/>
    </row>
    <row r="120" spans="2:14" x14ac:dyDescent="0.25">
      <c r="B120" s="2" t="s">
        <v>0</v>
      </c>
      <c r="F120" s="16"/>
      <c r="G120" s="86"/>
    </row>
    <row r="121" spans="2:14" x14ac:dyDescent="0.25">
      <c r="B121" s="1" t="str">
        <f>'Dairy parameter'!A25</f>
        <v>Animal health costs per MA cow</v>
      </c>
      <c r="C121" s="1" t="s">
        <v>7</v>
      </c>
      <c r="E121" s="26">
        <f>'Dairy parameter'!C25*E98</f>
        <v>68.150208623087636</v>
      </c>
      <c r="F121" s="17" t="str">
        <f ca="1">_xlfn.FORMULATEXT(E121)</f>
        <v>='Dairy parameter'!C25*E98</v>
      </c>
      <c r="G121" s="86"/>
      <c r="I121" s="26">
        <f>E121</f>
        <v>68.150208623087636</v>
      </c>
      <c r="J121" s="17" t="str">
        <f ca="1">_xlfn.FORMULATEXT(I121)</f>
        <v>=E121</v>
      </c>
      <c r="K121" s="53">
        <f>I121</f>
        <v>68.150208623087636</v>
      </c>
      <c r="L121" s="17" t="str">
        <f ca="1">_xlfn.FORMULATEXT(K121)</f>
        <v>=I121</v>
      </c>
      <c r="M121" s="54">
        <f>E121+('Partial Budget'!E25*'Partial Budget'!E24/100)</f>
        <v>68.150208623087636</v>
      </c>
      <c r="N121" s="17" t="str">
        <f ca="1">_xlfn.FORMULATEXT(M121)</f>
        <v>=E121+('Partial Budget'!E25*'Partial Budget'!E24/100)</v>
      </c>
    </row>
    <row r="122" spans="2:14" x14ac:dyDescent="0.25">
      <c r="E122" s="10"/>
      <c r="F122" s="16"/>
      <c r="G122" s="86"/>
      <c r="I122" s="10"/>
    </row>
    <row r="123" spans="2:14" x14ac:dyDescent="0.25">
      <c r="B123" s="2" t="s">
        <v>2</v>
      </c>
      <c r="F123" s="16"/>
      <c r="G123" s="86"/>
    </row>
    <row r="124" spans="2:14" x14ac:dyDescent="0.25">
      <c r="B124" s="1" t="str">
        <f>'Dairy parameter'!A28</f>
        <v>Breeding cost per MA cow</v>
      </c>
      <c r="C124" s="1" t="s">
        <v>6</v>
      </c>
      <c r="E124" s="26">
        <f>'Dairy parameter'!C28</f>
        <v>69</v>
      </c>
      <c r="F124" s="17" t="str">
        <f ca="1">_xlfn.FORMULATEXT(E124)</f>
        <v>='Dairy parameter'!C28</v>
      </c>
      <c r="G124" s="86"/>
      <c r="I124" s="26">
        <f>E124</f>
        <v>69</v>
      </c>
      <c r="J124" s="17" t="str">
        <f ca="1">_xlfn.FORMULATEXT(I124)</f>
        <v>=E124</v>
      </c>
    </row>
    <row r="125" spans="2:14" x14ac:dyDescent="0.25">
      <c r="E125" s="10"/>
      <c r="F125" s="16"/>
      <c r="G125" s="86"/>
      <c r="I125" s="10"/>
    </row>
    <row r="126" spans="2:14" x14ac:dyDescent="0.25">
      <c r="B126" s="2" t="s">
        <v>8</v>
      </c>
      <c r="E126" s="10"/>
      <c r="F126" s="16"/>
      <c r="G126" s="86"/>
      <c r="I126" s="10"/>
    </row>
    <row r="127" spans="2:14" x14ac:dyDescent="0.25">
      <c r="B127" s="1" t="str">
        <f>'Dairy parameter'!A29</f>
        <v>Feed costs per MA cow</v>
      </c>
      <c r="C127" s="1" t="s">
        <v>7</v>
      </c>
      <c r="E127" s="26">
        <f>'Dairy parameter'!C29*E97</f>
        <v>475.0140370578327</v>
      </c>
      <c r="F127" s="17" t="str">
        <f ca="1">_xlfn.FORMULATEXT(E127)</f>
        <v>='Dairy parameter'!C29*E97</v>
      </c>
      <c r="G127" s="86"/>
      <c r="I127" s="26">
        <f>E127</f>
        <v>475.0140370578327</v>
      </c>
      <c r="J127" s="17" t="str">
        <f ca="1">_xlfn.FORMULATEXT(I127)</f>
        <v>=E127</v>
      </c>
    </row>
    <row r="128" spans="2:14" x14ac:dyDescent="0.25">
      <c r="B128" s="1" t="str">
        <f>'Dairy parameter'!A30</f>
        <v>Grazing expenses per R1 / R2 heifer</v>
      </c>
      <c r="C128" s="1" t="s">
        <v>7</v>
      </c>
      <c r="E128" s="26">
        <f>'Dairy parameter'!C30*E97</f>
        <v>196.86589158817529</v>
      </c>
      <c r="F128" s="17" t="str">
        <f ca="1">_xlfn.FORMULATEXT(E128)</f>
        <v>='Dairy parameter'!C30*E97</v>
      </c>
      <c r="G128" s="86"/>
      <c r="I128" s="26">
        <f>E128</f>
        <v>196.86589158817529</v>
      </c>
      <c r="J128" s="17" t="str">
        <f ca="1">_xlfn.FORMULATEXT(I128)</f>
        <v>=E128</v>
      </c>
    </row>
    <row r="129" spans="2:14" x14ac:dyDescent="0.25">
      <c r="B129" s="1" t="s">
        <v>43</v>
      </c>
      <c r="C129" s="1" t="s">
        <v>7</v>
      </c>
      <c r="E129" s="26">
        <f>'Dairy parameter'!C30*E97+'Dairy parameter'!C32</f>
        <v>321.86589158817526</v>
      </c>
      <c r="F129" s="17" t="str">
        <f ca="1">_xlfn.FORMULATEXT(E129)</f>
        <v>='Dairy parameter'!C30*E97+'Dairy parameter'!C32</v>
      </c>
      <c r="G129" s="86"/>
      <c r="I129" s="26">
        <f>E129</f>
        <v>321.86589158817526</v>
      </c>
      <c r="J129" s="17" t="str">
        <f ca="1">_xlfn.FORMULATEXT(I129)</f>
        <v>=E129</v>
      </c>
    </row>
    <row r="130" spans="2:14" x14ac:dyDescent="0.25">
      <c r="F130" s="16"/>
      <c r="G130" s="86"/>
    </row>
    <row r="131" spans="2:14" x14ac:dyDescent="0.25">
      <c r="E131" s="91"/>
      <c r="F131" s="23"/>
      <c r="G131" s="88"/>
      <c r="I131" s="91"/>
      <c r="K131" s="91"/>
      <c r="L131" s="17"/>
      <c r="M131" s="91"/>
      <c r="N131" s="17"/>
    </row>
  </sheetData>
  <mergeCells count="2">
    <mergeCell ref="E2:F2"/>
    <mergeCell ref="I2:N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3C210-D4C2-4181-8F2A-4E37C7E165C6}">
  <sheetPr codeName="Sheet1"/>
  <dimension ref="A2:S196"/>
  <sheetViews>
    <sheetView topLeftCell="A19" workbookViewId="0">
      <selection activeCell="I50" sqref="I50:M52"/>
    </sheetView>
  </sheetViews>
  <sheetFormatPr defaultColWidth="9.140625" defaultRowHeight="15" x14ac:dyDescent="0.25"/>
  <cols>
    <col min="1" max="1" width="2.7109375" style="1" customWidth="1"/>
    <col min="2" max="2" width="51.5703125" style="1" bestFit="1" customWidth="1"/>
    <col min="3" max="3" width="22.7109375" style="1" bestFit="1" customWidth="1"/>
    <col min="4" max="4" width="2" style="1" customWidth="1"/>
    <col min="5" max="5" width="16.140625" style="1" bestFit="1" customWidth="1"/>
    <col min="6" max="6" width="32.7109375" style="1" customWidth="1"/>
    <col min="7" max="7" width="10.140625" style="1" customWidth="1"/>
    <col min="8" max="8" width="2" style="1" customWidth="1"/>
    <col min="9" max="9" width="16.140625" style="1" bestFit="1" customWidth="1"/>
    <col min="10" max="10" width="20.85546875" style="1" customWidth="1"/>
    <col min="11" max="11" width="16.140625" style="1" bestFit="1" customWidth="1"/>
    <col min="12" max="12" width="21.140625" style="1" customWidth="1"/>
    <col min="13" max="13" width="16.140625" style="1" bestFit="1" customWidth="1"/>
    <col min="14" max="14" width="21.140625" style="1" customWidth="1"/>
    <col min="15" max="15" width="11.5703125" style="1" bestFit="1" customWidth="1"/>
    <col min="16" max="17" width="9.140625" style="1"/>
    <col min="18" max="18" width="10.5703125" style="1" bestFit="1" customWidth="1"/>
    <col min="19" max="16384" width="9.140625" style="1"/>
  </cols>
  <sheetData>
    <row r="2" spans="2:15" x14ac:dyDescent="0.25">
      <c r="B2" s="21"/>
      <c r="C2" s="21"/>
      <c r="D2" s="21"/>
      <c r="E2" s="129" t="s">
        <v>61</v>
      </c>
      <c r="F2" s="129"/>
      <c r="G2" s="111"/>
      <c r="H2" s="21"/>
      <c r="I2" s="129" t="s">
        <v>63</v>
      </c>
      <c r="J2" s="129"/>
      <c r="K2" s="129"/>
      <c r="L2" s="129"/>
      <c r="M2" s="129"/>
      <c r="N2" s="129"/>
    </row>
    <row r="3" spans="2:15" x14ac:dyDescent="0.25">
      <c r="B3" s="21" t="s">
        <v>56</v>
      </c>
      <c r="C3" s="21" t="s">
        <v>62</v>
      </c>
      <c r="D3" s="21"/>
      <c r="E3" s="39" t="s">
        <v>90</v>
      </c>
      <c r="F3" s="39"/>
      <c r="G3" s="39" t="s">
        <v>419</v>
      </c>
      <c r="H3" s="21"/>
      <c r="I3" s="39" t="s">
        <v>90</v>
      </c>
      <c r="J3" s="21"/>
      <c r="K3" s="39" t="s">
        <v>75</v>
      </c>
      <c r="L3" s="39"/>
      <c r="M3" s="39" t="s">
        <v>74</v>
      </c>
      <c r="N3" s="39"/>
    </row>
    <row r="4" spans="2:15" x14ac:dyDescent="0.25">
      <c r="B4" s="2"/>
      <c r="F4" s="11"/>
      <c r="G4" s="11"/>
      <c r="L4" s="17"/>
      <c r="N4" s="17"/>
    </row>
    <row r="5" spans="2:15" x14ac:dyDescent="0.25">
      <c r="B5" s="55" t="s">
        <v>45</v>
      </c>
      <c r="C5" s="56"/>
      <c r="D5" s="56"/>
      <c r="E5" s="56"/>
      <c r="F5" s="57"/>
      <c r="G5" s="57"/>
      <c r="H5" s="56"/>
      <c r="I5" s="56"/>
      <c r="J5" s="56"/>
      <c r="K5" s="56"/>
      <c r="L5" s="56"/>
      <c r="M5" s="56"/>
      <c r="N5" s="56"/>
    </row>
    <row r="6" spans="2:15" x14ac:dyDescent="0.25">
      <c r="B6" s="2"/>
      <c r="F6" s="16"/>
      <c r="G6" s="16">
        <f>'Beef parameter'!C46-'Beef parameter'!C47</f>
        <v>255758.43</v>
      </c>
    </row>
    <row r="7" spans="2:15" x14ac:dyDescent="0.25">
      <c r="B7" s="1" t="s">
        <v>532</v>
      </c>
      <c r="C7" s="1" t="s">
        <v>12</v>
      </c>
      <c r="D7" s="16"/>
      <c r="E7" s="12">
        <f>E9-E30</f>
        <v>382272.20686356467</v>
      </c>
      <c r="F7" s="17" t="str">
        <f ca="1">_xlfn.FORMULATEXT(E7)</f>
        <v>=E9-E30</v>
      </c>
      <c r="G7" s="86">
        <f>(E7-G6)/G6</f>
        <v>0.49466121943102592</v>
      </c>
      <c r="H7" s="16"/>
      <c r="I7" s="12">
        <f>I9-I30</f>
        <v>374626.33327702363</v>
      </c>
      <c r="J7" s="17" t="str">
        <f ca="1">_xlfn.FORMULATEXT(I7)</f>
        <v>=I9-I30</v>
      </c>
      <c r="K7" s="16"/>
      <c r="L7" s="16"/>
      <c r="M7" s="16"/>
      <c r="N7" s="16"/>
    </row>
    <row r="8" spans="2:15" x14ac:dyDescent="0.25">
      <c r="E8" s="3"/>
      <c r="F8" s="17"/>
      <c r="G8" s="17"/>
      <c r="I8" s="3"/>
      <c r="K8" s="3"/>
      <c r="M8" s="3"/>
    </row>
    <row r="9" spans="2:15" x14ac:dyDescent="0.25">
      <c r="B9" s="1" t="s">
        <v>484</v>
      </c>
      <c r="C9" s="1" t="s">
        <v>12</v>
      </c>
      <c r="E9" s="12">
        <f>E10-E16</f>
        <v>444569.47686356469</v>
      </c>
      <c r="F9" s="17" t="str">
        <f t="shared" ref="F9:F15" ca="1" si="0">_xlfn.FORMULATEXT(E9)</f>
        <v>=E10-E16</v>
      </c>
      <c r="G9" s="86">
        <f>(E9-'Beef parameter'!C46)/'Beef parameter'!C46</f>
        <v>0.39777239289710786</v>
      </c>
      <c r="I9" s="12">
        <f>I10-I16</f>
        <v>436682.07420587982</v>
      </c>
      <c r="J9" s="17" t="str">
        <f t="shared" ref="J9:J15" ca="1" si="1">_xlfn.FORMULATEXT(I9)</f>
        <v>=I10-I16</v>
      </c>
      <c r="K9" s="41">
        <f>SUM(K11:K15)</f>
        <v>148233.09492850967</v>
      </c>
      <c r="L9" s="17" t="str">
        <f t="shared" ref="L9:L15" ca="1" si="2">_xlfn.FORMULATEXT(K9)</f>
        <v>=SUM(K11:K15)</v>
      </c>
      <c r="M9" s="41">
        <f>SUM(M11:M15)</f>
        <v>495353.21326134726</v>
      </c>
      <c r="N9" s="17" t="str">
        <f t="shared" ref="N9:N15" ca="1" si="3">_xlfn.FORMULATEXT(M9)</f>
        <v>=SUM(M11:M15)</v>
      </c>
    </row>
    <row r="10" spans="2:15" x14ac:dyDescent="0.25">
      <c r="B10" s="1" t="s">
        <v>487</v>
      </c>
      <c r="C10" s="1" t="s">
        <v>12</v>
      </c>
      <c r="E10" s="12">
        <f>SUM(E11:E15)</f>
        <v>644579</v>
      </c>
      <c r="F10" s="17" t="str">
        <f t="shared" ca="1" si="0"/>
        <v>=SUM(E11:E15)</v>
      </c>
      <c r="G10" s="17"/>
      <c r="I10" s="12">
        <f>SUM(I11:I15)</f>
        <v>643586.30818985705</v>
      </c>
      <c r="J10" s="17" t="str">
        <f t="shared" ca="1" si="1"/>
        <v>=SUM(I11:I15)</v>
      </c>
      <c r="K10" s="41">
        <f>SUM(K11:K15)</f>
        <v>148233.09492850967</v>
      </c>
      <c r="L10" s="17"/>
      <c r="M10" s="41">
        <f>SUM(M11:M15)</f>
        <v>495353.21326134726</v>
      </c>
      <c r="N10" s="17"/>
    </row>
    <row r="11" spans="2:15" s="103" customFormat="1" x14ac:dyDescent="0.25">
      <c r="B11" s="103" t="s">
        <v>494</v>
      </c>
      <c r="C11" s="103" t="s">
        <v>12</v>
      </c>
      <c r="E11" s="104">
        <f>E84*E175</f>
        <v>3970</v>
      </c>
      <c r="F11" s="105" t="str">
        <f t="shared" ca="1" si="0"/>
        <v>=E84*E175</v>
      </c>
      <c r="G11" s="105"/>
      <c r="I11" s="104">
        <f t="shared" ref="I11:I15" si="4">K11+M11</f>
        <v>3963.8861999999999</v>
      </c>
      <c r="J11" s="105" t="str">
        <f t="shared" ca="1" si="1"/>
        <v>=K11+M11</v>
      </c>
      <c r="K11" s="107">
        <f>K84*K175</f>
        <v>913.09999999999991</v>
      </c>
      <c r="L11" s="105" t="str">
        <f t="shared" ca="1" si="2"/>
        <v>=K84*K175</v>
      </c>
      <c r="M11" s="107">
        <f>M84*M175</f>
        <v>3050.7862</v>
      </c>
      <c r="N11" s="105" t="str">
        <f t="shared" ca="1" si="3"/>
        <v>=M84*M175</v>
      </c>
    </row>
    <row r="12" spans="2:15" s="103" customFormat="1" x14ac:dyDescent="0.25">
      <c r="B12" s="103" t="s">
        <v>520</v>
      </c>
      <c r="C12" s="103" t="s">
        <v>12</v>
      </c>
      <c r="E12" s="104">
        <f>(E86*E177)+(E88*E179)</f>
        <v>335037</v>
      </c>
      <c r="F12" s="105" t="str">
        <f t="shared" ca="1" si="0"/>
        <v>=(E86*E177)+(E88*E179)</v>
      </c>
      <c r="G12" s="105"/>
      <c r="I12" s="104">
        <f t="shared" si="4"/>
        <v>334521.04302000004</v>
      </c>
      <c r="J12" s="105" t="str">
        <f t="shared" ca="1" si="1"/>
        <v>=K12+M12</v>
      </c>
      <c r="K12" s="107">
        <f>(K86*K177)+(K88*K179)</f>
        <v>77058.509999999995</v>
      </c>
      <c r="L12" s="105" t="str">
        <f t="shared" ca="1" si="2"/>
        <v>=(K86*K177)+(K88*K179)</v>
      </c>
      <c r="M12" s="107">
        <f>(M86*M177)+(M88*M179)</f>
        <v>257462.53302000003</v>
      </c>
      <c r="N12" s="105" t="str">
        <f t="shared" ca="1" si="3"/>
        <v>=(M86*M177)+(M88*M179)</v>
      </c>
    </row>
    <row r="13" spans="2:15" s="103" customFormat="1" x14ac:dyDescent="0.25">
      <c r="B13" s="103" t="s">
        <v>495</v>
      </c>
      <c r="C13" s="103" t="s">
        <v>12</v>
      </c>
      <c r="E13" s="104">
        <f>(E73*E165)+(E75*E167)+(E77*E169)+(E85*E176)+(E87*E178)</f>
        <v>84559</v>
      </c>
      <c r="F13" s="105" t="str">
        <f t="shared" ca="1" si="0"/>
        <v>=(E73*E165)+(E75*E167)+(E77*E169)+(E85*E176)+(E87*E178)</v>
      </c>
      <c r="G13" s="105"/>
      <c r="I13" s="104">
        <f t="shared" si="4"/>
        <v>84428.779139999999</v>
      </c>
      <c r="J13" s="105" t="str">
        <f t="shared" ca="1" si="1"/>
        <v>=K13+M13</v>
      </c>
      <c r="K13" s="107">
        <f>(K73*K165)+(K75*K167)+(K77*K169)+(K85*K176)+(K87*K178)</f>
        <v>19448.57</v>
      </c>
      <c r="L13" s="105" t="str">
        <f t="shared" ca="1" si="2"/>
        <v>=(K73*K165)+(K75*K167)+(K77*K169)+(K85*K176)+(K87*K178)</v>
      </c>
      <c r="M13" s="107">
        <f>(M73*M165)+(M75*M167)+(M77*M169)+(M85*M176)+(M87*M178)</f>
        <v>64980.209139999992</v>
      </c>
      <c r="N13" s="105" t="str">
        <f ca="1">_xlfn.FORMULATEXT(M13)</f>
        <v>=(M73*M165)+(M75*M167)+(M77*M169)+(M85*M176)+(M87*M178)</v>
      </c>
    </row>
    <row r="14" spans="2:15" s="103" customFormat="1" x14ac:dyDescent="0.25">
      <c r="B14" s="103" t="s">
        <v>379</v>
      </c>
      <c r="C14" s="103" t="s">
        <v>12</v>
      </c>
      <c r="E14" s="104">
        <f>SUMPRODUCT(E79:E81,E171:E173)</f>
        <v>8793</v>
      </c>
      <c r="F14" s="105" t="str">
        <f t="shared" ca="1" si="0"/>
        <v>=SUMPRODUCT(E79:E81,E171:E173)</v>
      </c>
      <c r="G14" s="105"/>
      <c r="I14" s="104">
        <f t="shared" si="4"/>
        <v>8779.4186298570185</v>
      </c>
      <c r="J14" s="105" t="str">
        <f t="shared" ca="1" si="1"/>
        <v>=K14+M14</v>
      </c>
      <c r="K14" s="107">
        <f>SUMPRODUCT(K79:K81,K171:K173)</f>
        <v>2002.3149285096865</v>
      </c>
      <c r="L14" s="105" t="str">
        <f t="shared" ca="1" si="2"/>
        <v>=SUMPRODUCT(K79:K81,K171:K173)</v>
      </c>
      <c r="M14" s="107">
        <f>SUMPRODUCT(M79:M81,M171:M173)</f>
        <v>6777.1037013473324</v>
      </c>
      <c r="N14" s="105" t="str">
        <f ca="1">_xlfn.FORMULATEXT(M14)</f>
        <v>=SUMPRODUCT(M79:M81,M171:M173)</v>
      </c>
    </row>
    <row r="15" spans="2:15" s="103" customFormat="1" x14ac:dyDescent="0.25">
      <c r="B15" s="103" t="s">
        <v>496</v>
      </c>
      <c r="C15" s="103" t="s">
        <v>12</v>
      </c>
      <c r="E15" s="104">
        <f>E90*E181</f>
        <v>212220</v>
      </c>
      <c r="F15" s="105" t="str">
        <f t="shared" ca="1" si="0"/>
        <v>=E90*E181</v>
      </c>
      <c r="G15" s="105"/>
      <c r="I15" s="104">
        <f t="shared" si="4"/>
        <v>211893.18119999999</v>
      </c>
      <c r="J15" s="105" t="str">
        <f t="shared" ca="1" si="1"/>
        <v>=K15+M15</v>
      </c>
      <c r="K15" s="107">
        <f>K90*K181</f>
        <v>48810.6</v>
      </c>
      <c r="L15" s="105" t="str">
        <f t="shared" ca="1" si="2"/>
        <v>=K90*K181</v>
      </c>
      <c r="M15" s="107">
        <f>M90*M181</f>
        <v>163082.58119999999</v>
      </c>
      <c r="N15" s="105" t="str">
        <f t="shared" ca="1" si="3"/>
        <v>=M90*M181</v>
      </c>
    </row>
    <row r="16" spans="2:15" s="103" customFormat="1" x14ac:dyDescent="0.25">
      <c r="B16" s="103" t="s">
        <v>485</v>
      </c>
      <c r="C16" s="103" t="s">
        <v>12</v>
      </c>
      <c r="E16" s="104">
        <f>E17+E18</f>
        <v>200009.52313643528</v>
      </c>
      <c r="F16" s="105" t="str">
        <f ca="1">_xlfn.FORMULATEXT(E16)</f>
        <v>=E17+E18</v>
      </c>
      <c r="G16" s="105"/>
      <c r="I16" s="104">
        <f>I17+I18</f>
        <v>206904.23398397726</v>
      </c>
      <c r="J16" s="105" t="str">
        <f t="shared" ref="J16:J28" ca="1" si="5">_xlfn.FORMULATEXT(I16)</f>
        <v>=I17+I18</v>
      </c>
      <c r="K16" s="108"/>
      <c r="L16" s="108"/>
      <c r="M16" s="108"/>
      <c r="N16" s="108"/>
      <c r="O16" s="108"/>
    </row>
    <row r="17" spans="2:15" s="103" customFormat="1" x14ac:dyDescent="0.25">
      <c r="B17" s="103" t="s">
        <v>486</v>
      </c>
      <c r="C17" s="103" t="s">
        <v>12</v>
      </c>
      <c r="E17" s="104">
        <f>SUMPRODUCT(E50:E52,E171:E173)*0.7</f>
        <v>200009.52313643528</v>
      </c>
      <c r="F17" s="105" t="str">
        <f ca="1">_xlfn.FORMULATEXT(E17)</f>
        <v>=SUMPRODUCT(E50:E52,E171:E173)*0.7</v>
      </c>
      <c r="G17" s="105"/>
      <c r="I17" s="104">
        <f>SUMPRODUCT(I50:I52,E171:E173)*0.7</f>
        <v>201267.98249243529</v>
      </c>
      <c r="J17" s="105" t="str">
        <f t="shared" ca="1" si="5"/>
        <v>=SUMPRODUCT(I50:I52,E171:E173)*0.7</v>
      </c>
      <c r="K17" s="108"/>
      <c r="L17" s="108"/>
      <c r="M17" s="108"/>
      <c r="N17" s="108"/>
      <c r="O17" s="108"/>
    </row>
    <row r="18" spans="2:15" s="103" customFormat="1" x14ac:dyDescent="0.25">
      <c r="B18" s="103" t="s">
        <v>289</v>
      </c>
      <c r="C18" s="103" t="s">
        <v>12</v>
      </c>
      <c r="E18" s="104">
        <v>0</v>
      </c>
      <c r="F18" s="105"/>
      <c r="G18" s="105"/>
      <c r="I18" s="104">
        <f>SUM(I19:I28)</f>
        <v>5636.2514915419697</v>
      </c>
      <c r="J18" s="105" t="str">
        <f t="shared" ca="1" si="5"/>
        <v>=SUM(I19:I28)</v>
      </c>
      <c r="K18" s="108"/>
      <c r="L18" s="108"/>
      <c r="M18" s="108"/>
      <c r="N18" s="108"/>
      <c r="O18" s="108"/>
    </row>
    <row r="19" spans="2:15" s="103" customFormat="1" x14ac:dyDescent="0.25">
      <c r="B19" s="103" t="s">
        <v>291</v>
      </c>
      <c r="C19" s="103" t="s">
        <v>12</v>
      </c>
      <c r="E19" s="104">
        <v>0</v>
      </c>
      <c r="F19" s="105"/>
      <c r="G19" s="105"/>
      <c r="I19" s="104">
        <f>IF(E106&gt;I106,(E106-I106)*E164,0)</f>
        <v>0</v>
      </c>
      <c r="J19" s="105" t="str">
        <f t="shared" ca="1" si="5"/>
        <v>=IF(E106&gt;I106,(E106-I106)*E164,0)</v>
      </c>
      <c r="K19" s="108"/>
      <c r="L19" s="108"/>
      <c r="M19" s="108"/>
      <c r="N19" s="108"/>
      <c r="O19" s="108"/>
    </row>
    <row r="20" spans="2:15" s="103" customFormat="1" x14ac:dyDescent="0.25">
      <c r="B20" s="103" t="s">
        <v>293</v>
      </c>
      <c r="C20" s="103" t="s">
        <v>12</v>
      </c>
      <c r="E20" s="104">
        <v>0</v>
      </c>
      <c r="F20" s="105"/>
      <c r="G20" s="105"/>
      <c r="I20" s="104">
        <f>IF(E107&gt;I107,(E107-I107)*E176,0)</f>
        <v>0</v>
      </c>
      <c r="J20" s="105" t="str">
        <f t="shared" ca="1" si="5"/>
        <v>=IF(E107&gt;I107,(E107-I107)*E176,0)</v>
      </c>
      <c r="K20" s="108"/>
      <c r="L20" s="108"/>
      <c r="M20" s="108"/>
      <c r="N20" s="108"/>
      <c r="O20" s="108"/>
    </row>
    <row r="21" spans="2:15" s="103" customFormat="1" x14ac:dyDescent="0.25">
      <c r="B21" s="103" t="s">
        <v>521</v>
      </c>
      <c r="C21" s="103" t="s">
        <v>12</v>
      </c>
      <c r="E21" s="104">
        <v>0</v>
      </c>
      <c r="F21" s="105"/>
      <c r="G21" s="105"/>
      <c r="I21" s="104">
        <f>IF(E108&gt;I108,(E108-I108)*E177,0)</f>
        <v>0</v>
      </c>
      <c r="J21" s="105" t="str">
        <f t="shared" ca="1" si="5"/>
        <v>=IF(E108&gt;I108,(E108-I108)*E177,0)</v>
      </c>
      <c r="K21" s="108"/>
      <c r="L21" s="108"/>
      <c r="M21" s="108"/>
      <c r="N21" s="108"/>
      <c r="O21" s="108"/>
    </row>
    <row r="22" spans="2:15" s="103" customFormat="1" x14ac:dyDescent="0.25">
      <c r="B22" s="103" t="s">
        <v>294</v>
      </c>
      <c r="C22" s="103" t="s">
        <v>12</v>
      </c>
      <c r="E22" s="104">
        <v>0</v>
      </c>
      <c r="F22" s="105"/>
      <c r="G22" s="105"/>
      <c r="I22" s="104">
        <f>IF(E109&gt;I109,(E109-I109)*E178,0)</f>
        <v>0</v>
      </c>
      <c r="J22" s="105" t="str">
        <f t="shared" ca="1" si="5"/>
        <v>=IF(E109&gt;I109,(E109-I109)*E178,0)</v>
      </c>
      <c r="K22" s="108"/>
      <c r="L22" s="108"/>
      <c r="M22" s="108"/>
      <c r="N22" s="108"/>
      <c r="O22" s="108"/>
    </row>
    <row r="23" spans="2:15" s="103" customFormat="1" x14ac:dyDescent="0.25">
      <c r="B23" s="103" t="s">
        <v>497</v>
      </c>
      <c r="C23" s="103" t="s">
        <v>12</v>
      </c>
      <c r="E23" s="104">
        <v>0</v>
      </c>
      <c r="F23" s="105"/>
      <c r="G23" s="105"/>
      <c r="I23" s="104">
        <f>IF(E110&gt;I110,(E110-I110)*E179,0)</f>
        <v>0</v>
      </c>
      <c r="J23" s="105" t="str">
        <f t="shared" ca="1" si="5"/>
        <v>=IF(E110&gt;I110,(E110-I110)*E179,0)</v>
      </c>
      <c r="K23" s="108"/>
      <c r="L23" s="108"/>
      <c r="M23" s="108"/>
      <c r="N23" s="108"/>
      <c r="O23" s="108"/>
    </row>
    <row r="24" spans="2:15" s="103" customFormat="1" x14ac:dyDescent="0.25">
      <c r="B24" s="103" t="s">
        <v>498</v>
      </c>
      <c r="C24" s="103" t="s">
        <v>12</v>
      </c>
      <c r="E24" s="104">
        <v>0</v>
      </c>
      <c r="F24" s="105"/>
      <c r="G24" s="105"/>
      <c r="I24" s="104">
        <f>IF(E111&gt;I111,(E111-I111)*E169,0)</f>
        <v>0</v>
      </c>
      <c r="J24" s="105" t="str">
        <f t="shared" ca="1" si="5"/>
        <v>=IF(E111&gt;I111,(E111-I111)*E169,0)</v>
      </c>
      <c r="K24" s="108"/>
      <c r="L24" s="108"/>
      <c r="M24" s="108"/>
      <c r="N24" s="108"/>
      <c r="O24" s="108"/>
    </row>
    <row r="25" spans="2:15" s="103" customFormat="1" x14ac:dyDescent="0.25">
      <c r="B25" s="103" t="s">
        <v>522</v>
      </c>
      <c r="C25" s="1" t="s">
        <v>12</v>
      </c>
      <c r="E25" s="104">
        <v>0</v>
      </c>
      <c r="F25" s="105"/>
      <c r="G25" s="105"/>
      <c r="I25" s="104">
        <f>IF(E112&gt;I112,(E112-I112)*E170,0)</f>
        <v>0</v>
      </c>
      <c r="J25" s="105" t="str">
        <f t="shared" ca="1" si="5"/>
        <v>=IF(E112&gt;I112,(E112-I112)*E170,0)</v>
      </c>
      <c r="K25" s="108"/>
      <c r="L25" s="108"/>
      <c r="M25" s="108"/>
      <c r="N25" s="108"/>
      <c r="O25" s="108"/>
    </row>
    <row r="26" spans="2:15" s="103" customFormat="1" x14ac:dyDescent="0.25">
      <c r="B26" s="103" t="s">
        <v>295</v>
      </c>
      <c r="C26" s="1" t="s">
        <v>12</v>
      </c>
      <c r="E26" s="104">
        <v>0</v>
      </c>
      <c r="F26" s="105"/>
      <c r="G26" s="105"/>
      <c r="I26" s="104">
        <f>IF(E113&gt;I113,(E113-I113)*E171,0)</f>
        <v>428.59477075511654</v>
      </c>
      <c r="J26" s="105" t="str">
        <f t="shared" ca="1" si="5"/>
        <v>=IF(E113&gt;I113,(E113-I113)*E171,0)</v>
      </c>
      <c r="K26" s="108"/>
      <c r="L26" s="108"/>
      <c r="M26" s="108"/>
      <c r="N26" s="108"/>
      <c r="O26" s="108"/>
    </row>
    <row r="27" spans="2:15" s="103" customFormat="1" x14ac:dyDescent="0.25">
      <c r="B27" s="103" t="s">
        <v>296</v>
      </c>
      <c r="C27" s="1" t="s">
        <v>12</v>
      </c>
      <c r="E27" s="104">
        <v>0</v>
      </c>
      <c r="F27" s="105"/>
      <c r="G27" s="105"/>
      <c r="I27" s="104">
        <f>IF(E114&gt;I114,(E114-I114)*E172,0)</f>
        <v>3027.4461658822866</v>
      </c>
      <c r="J27" s="105" t="str">
        <f t="shared" ca="1" si="5"/>
        <v>=IF(E114&gt;I114,(E114-I114)*E172,0)</v>
      </c>
      <c r="K27" s="108"/>
      <c r="L27" s="108"/>
      <c r="M27" s="108"/>
      <c r="N27" s="108"/>
      <c r="O27" s="108"/>
    </row>
    <row r="28" spans="2:15" s="103" customFormat="1" x14ac:dyDescent="0.25">
      <c r="B28" s="103" t="s">
        <v>297</v>
      </c>
      <c r="C28" s="1" t="s">
        <v>12</v>
      </c>
      <c r="E28" s="104">
        <v>0</v>
      </c>
      <c r="F28" s="105"/>
      <c r="G28" s="105"/>
      <c r="I28" s="104">
        <f>IF(E115&gt;I115,(E115-I115)*E173,0)</f>
        <v>2180.2105549045664</v>
      </c>
      <c r="J28" s="105" t="str">
        <f t="shared" ca="1" si="5"/>
        <v>=IF(E115&gt;I115,(E115-I115)*E173,0)</v>
      </c>
      <c r="K28" s="108"/>
      <c r="L28" s="108"/>
      <c r="M28" s="108"/>
      <c r="N28" s="108"/>
      <c r="O28" s="108"/>
    </row>
    <row r="29" spans="2:15" x14ac:dyDescent="0.25">
      <c r="E29" s="3"/>
      <c r="F29" s="17"/>
      <c r="G29" s="17"/>
      <c r="I29" s="3"/>
      <c r="K29" s="3"/>
      <c r="M29" s="3"/>
    </row>
    <row r="30" spans="2:15" x14ac:dyDescent="0.25">
      <c r="B30" s="1" t="s">
        <v>526</v>
      </c>
      <c r="C30" s="1" t="s">
        <v>12</v>
      </c>
      <c r="E30" s="12">
        <f>SUM(E31:E33)</f>
        <v>62297.270000000004</v>
      </c>
      <c r="F30" s="17" t="str">
        <f t="shared" ref="F30:F33" ca="1" si="6">_xlfn.FORMULATEXT(E30)</f>
        <v>=SUM(E31:E33)</v>
      </c>
      <c r="G30" s="112">
        <f>(E30-'Beef parameter'!C47)/'Beef parameter'!C47</f>
        <v>0</v>
      </c>
      <c r="I30" s="12">
        <f>SUM(I31:I33)</f>
        <v>62055.740928856219</v>
      </c>
      <c r="J30" s="17" t="str">
        <f t="shared" ref="J30:J33" ca="1" si="7">_xlfn.FORMULATEXT(I30)</f>
        <v>=SUM(I31:I33)</v>
      </c>
      <c r="K30" s="16"/>
      <c r="L30" s="16"/>
      <c r="M30" s="16"/>
      <c r="N30" s="16"/>
      <c r="O30" s="16"/>
    </row>
    <row r="31" spans="2:15" x14ac:dyDescent="0.25">
      <c r="B31" s="1" t="s">
        <v>272</v>
      </c>
      <c r="C31" s="1" t="s">
        <v>12</v>
      </c>
      <c r="E31" s="12">
        <f>E103*E194</f>
        <v>25112.27</v>
      </c>
      <c r="F31" s="17" t="str">
        <f t="shared" ca="1" si="6"/>
        <v>=E103*E194</v>
      </c>
      <c r="G31" s="17"/>
      <c r="I31" s="12">
        <f>I103*I194</f>
        <v>25014.908699137031</v>
      </c>
      <c r="J31" s="17" t="str">
        <f t="shared" ca="1" si="7"/>
        <v>=I103*I194</v>
      </c>
      <c r="K31" s="16"/>
      <c r="L31" s="16"/>
      <c r="M31" s="16"/>
      <c r="N31" s="16"/>
      <c r="O31" s="16"/>
    </row>
    <row r="32" spans="2:15" x14ac:dyDescent="0.25">
      <c r="B32" s="1" t="s">
        <v>19</v>
      </c>
      <c r="C32" s="1" t="s">
        <v>12</v>
      </c>
      <c r="E32" s="12">
        <f>E103*E189</f>
        <v>11502.559999999998</v>
      </c>
      <c r="F32" s="17" t="str">
        <f t="shared" ca="1" si="6"/>
        <v>=E103*E189</v>
      </c>
      <c r="G32" s="17"/>
      <c r="I32" s="12">
        <f>(I103*I189)+(M190*SUM(M37:M43,M55:M57))</f>
        <v>11457.964103059801</v>
      </c>
      <c r="J32" s="17" t="str">
        <f t="shared" ca="1" si="7"/>
        <v>=(I103*I189)+(M190*SUM(M37:M43,M55:M57))</v>
      </c>
      <c r="K32" s="16"/>
      <c r="L32" s="16"/>
      <c r="M32" s="16"/>
      <c r="N32" s="16"/>
      <c r="O32" s="16"/>
    </row>
    <row r="33" spans="1:19" x14ac:dyDescent="0.25">
      <c r="B33" s="1" t="s">
        <v>11</v>
      </c>
      <c r="C33" s="1" t="s">
        <v>12</v>
      </c>
      <c r="E33" s="12">
        <f>E103*E186</f>
        <v>25682.44</v>
      </c>
      <c r="F33" s="17" t="str">
        <f t="shared" ca="1" si="6"/>
        <v>=E103*E186</v>
      </c>
      <c r="G33" s="17"/>
      <c r="I33" s="12">
        <f>I103*I186</f>
        <v>25582.868126659389</v>
      </c>
      <c r="J33" s="17" t="str">
        <f t="shared" ca="1" si="7"/>
        <v>=I103*I186</v>
      </c>
      <c r="K33" s="16"/>
      <c r="L33" s="16"/>
      <c r="M33" s="16"/>
      <c r="N33" s="16"/>
      <c r="O33" s="16"/>
    </row>
    <row r="34" spans="1:19" x14ac:dyDescent="0.25">
      <c r="E34" s="4"/>
      <c r="F34" s="4"/>
      <c r="G34" s="4"/>
      <c r="I34" s="4"/>
      <c r="K34" s="4"/>
      <c r="L34" s="17"/>
      <c r="M34" s="4"/>
      <c r="N34" s="17"/>
    </row>
    <row r="35" spans="1:19" x14ac:dyDescent="0.25">
      <c r="B35" s="55" t="s">
        <v>120</v>
      </c>
      <c r="C35" s="56"/>
      <c r="D35" s="56"/>
      <c r="E35" s="56"/>
      <c r="F35" s="57"/>
      <c r="G35" s="57"/>
      <c r="H35" s="56"/>
      <c r="I35" s="56"/>
      <c r="J35" s="56"/>
      <c r="K35" s="56"/>
      <c r="L35" s="56"/>
      <c r="M35" s="56"/>
      <c r="N35" s="56"/>
    </row>
    <row r="36" spans="1:19" x14ac:dyDescent="0.25">
      <c r="B36" s="2"/>
      <c r="E36" s="77"/>
      <c r="F36" s="11"/>
      <c r="G36" s="11"/>
      <c r="L36" s="17"/>
      <c r="N36" s="17"/>
    </row>
    <row r="37" spans="1:19" x14ac:dyDescent="0.25">
      <c r="B37" s="1" t="s">
        <v>215</v>
      </c>
      <c r="E37" s="14">
        <f>IF('Beef parameter'!C3&gt;'Beef parameter'!C29,'Beef parameter'!C3,'Beef parameter'!C29)</f>
        <v>11</v>
      </c>
      <c r="F37" s="17" t="str">
        <f ca="1">_xlfn.FORMULATEXT(E37)</f>
        <v>=IF('Beef parameter'!C3&gt;'Beef parameter'!C29,'Beef parameter'!C3,'Beef parameter'!C29)</v>
      </c>
      <c r="G37" s="17"/>
      <c r="I37" s="14">
        <f>K37+M37</f>
        <v>11</v>
      </c>
      <c r="J37" s="17" t="str">
        <f ca="1">_xlfn.FORMULATEXT(I37)</f>
        <v>=K37+M37</v>
      </c>
      <c r="K37" s="42">
        <f>E37*(1-'Partial Budget'!$G$10/100)</f>
        <v>2.5299999999999998</v>
      </c>
      <c r="L37" s="17" t="str">
        <f t="shared" ref="L37:L46" ca="1" si="8">_xlfn.FORMULATEXT(K37)</f>
        <v>=E37*(1-'Partial Budget'!$G$10/100)</v>
      </c>
      <c r="M37" s="42">
        <f>E37*'Partial Budget'!$G$10/100</f>
        <v>8.4700000000000006</v>
      </c>
      <c r="N37" s="17" t="str">
        <f t="shared" ref="N37:N46" ca="1" si="9">_xlfn.FORMULATEXT(M37)</f>
        <v>=E37*'Partial Budget'!$G$10/100</v>
      </c>
    </row>
    <row r="38" spans="1:19" x14ac:dyDescent="0.25">
      <c r="B38" s="1" t="s">
        <v>206</v>
      </c>
      <c r="E38" s="14">
        <f>(E60+E72+E84+E39+E73+E85)/(1-E132)</f>
        <v>45.465553886700476</v>
      </c>
      <c r="F38" s="17" t="str">
        <f t="shared" ref="F38:F47" ca="1" si="10">_xlfn.FORMULATEXT(E38)</f>
        <v>=(E60+E72+E84+E39+E73+E85)/(1-E132)</v>
      </c>
      <c r="G38" s="17"/>
      <c r="I38" s="14">
        <f t="shared" ref="I38:I43" si="11">K38+M38</f>
        <v>45.465553886700476</v>
      </c>
      <c r="J38" s="17" t="str">
        <f ca="1">_xlfn.FORMULATEXT(I38)</f>
        <v>=K38+M38</v>
      </c>
      <c r="K38" s="42">
        <f>E38*(1-'Partial Budget'!$G$10/100)</f>
        <v>10.457077393941109</v>
      </c>
      <c r="L38" s="17" t="str">
        <f t="shared" ca="1" si="8"/>
        <v>=E38*(1-'Partial Budget'!$G$10/100)</v>
      </c>
      <c r="M38" s="42">
        <f>E38*'Partial Budget'!$G$10/100</f>
        <v>35.008476492759371</v>
      </c>
      <c r="N38" s="17" t="str">
        <f t="shared" ca="1" si="9"/>
        <v>=E38*'Partial Budget'!$G$10/100</v>
      </c>
    </row>
    <row r="39" spans="1:19" x14ac:dyDescent="0.25">
      <c r="B39" s="1" t="s">
        <v>461</v>
      </c>
      <c r="E39" s="14">
        <f>(E74+E86)/(1-E132)</f>
        <v>21.12676056338028</v>
      </c>
      <c r="F39" s="17" t="str">
        <f t="shared" ca="1" si="10"/>
        <v>=(E74+E86)/(1-E132)</v>
      </c>
      <c r="G39" s="17"/>
      <c r="I39" s="14">
        <f t="shared" si="11"/>
        <v>21.12676056338028</v>
      </c>
      <c r="J39" s="17" t="str">
        <f t="shared" ref="J39:J47" ca="1" si="12">_xlfn.FORMULATEXT(I39)</f>
        <v>=K39+M39</v>
      </c>
      <c r="K39" s="42">
        <f>E39*(1-'Partial Budget'!$G$10/100)</f>
        <v>4.8591549295774641</v>
      </c>
      <c r="L39" s="17" t="str">
        <f t="shared" ca="1" si="8"/>
        <v>=E39*(1-'Partial Budget'!$G$10/100)</v>
      </c>
      <c r="M39" s="42">
        <f>E39*'Partial Budget'!$G$10/100</f>
        <v>16.267605633802816</v>
      </c>
      <c r="N39" s="17" t="str">
        <f t="shared" ca="1" si="9"/>
        <v>=E39*'Partial Budget'!$G$10/100</v>
      </c>
    </row>
    <row r="40" spans="1:19" x14ac:dyDescent="0.25">
      <c r="B40" s="1" t="s">
        <v>205</v>
      </c>
      <c r="E40" s="14">
        <f>(E41+E75+E87)/(1-E132)</f>
        <v>192.2399588678955</v>
      </c>
      <c r="F40" s="17" t="str">
        <f t="shared" ca="1" si="10"/>
        <v>=(E41+E75+E87)/(1-E132)</v>
      </c>
      <c r="G40" s="17"/>
      <c r="I40" s="14">
        <f t="shared" si="11"/>
        <v>192.2399588678955</v>
      </c>
      <c r="J40" s="17" t="str">
        <f t="shared" ca="1" si="12"/>
        <v>=K40+M40</v>
      </c>
      <c r="K40" s="42">
        <f>E40*(1-'Partial Budget'!$G$10/100)</f>
        <v>44.215190539615961</v>
      </c>
      <c r="L40" s="17" t="str">
        <f t="shared" ca="1" si="8"/>
        <v>=E40*(1-'Partial Budget'!$G$10/100)</v>
      </c>
      <c r="M40" s="42">
        <f>E40*'Partial Budget'!$G$10/100</f>
        <v>148.02476832827952</v>
      </c>
      <c r="N40" s="17" t="str">
        <f t="shared" ca="1" si="9"/>
        <v>=E40*'Partial Budget'!$G$10/100</v>
      </c>
    </row>
    <row r="41" spans="1:19" x14ac:dyDescent="0.25">
      <c r="A41" s="1" t="s">
        <v>519</v>
      </c>
      <c r="B41" s="1" t="s">
        <v>462</v>
      </c>
      <c r="E41" s="14">
        <f>(E76+E88)/(1-E132)</f>
        <v>181.08651911468812</v>
      </c>
      <c r="F41" s="17" t="str">
        <f t="shared" ca="1" si="10"/>
        <v>=(E76+E88)/(1-E132)</v>
      </c>
      <c r="G41" s="17"/>
      <c r="I41" s="14">
        <f t="shared" si="11"/>
        <v>181.08651911468812</v>
      </c>
      <c r="J41" s="17" t="str">
        <f t="shared" ca="1" si="12"/>
        <v>=K41+M41</v>
      </c>
      <c r="K41" s="42">
        <f>E41*(1-'Partial Budget'!$G$10/100)</f>
        <v>41.649899396378267</v>
      </c>
      <c r="L41" s="17" t="str">
        <f t="shared" ca="1" si="8"/>
        <v>=E41*(1-'Partial Budget'!$G$10/100)</v>
      </c>
      <c r="M41" s="42">
        <f>E41*'Partial Budget'!$G$10/100</f>
        <v>139.43661971830986</v>
      </c>
      <c r="N41" s="17" t="str">
        <f t="shared" ca="1" si="9"/>
        <v>=E41*'Partial Budget'!$G$10/100</v>
      </c>
    </row>
    <row r="42" spans="1:19" x14ac:dyDescent="0.25">
      <c r="B42" s="1" t="s">
        <v>463</v>
      </c>
      <c r="E42" s="14">
        <f>(E43+E77+E89)/(1-E132)</f>
        <v>184.92443595172648</v>
      </c>
      <c r="F42" s="17" t="str">
        <f t="shared" ca="1" si="10"/>
        <v>=(E43+E77+E89)/(1-E132)</v>
      </c>
      <c r="G42" s="17"/>
      <c r="I42" s="14">
        <f t="shared" si="11"/>
        <v>184.92443595172648</v>
      </c>
      <c r="J42" s="17" t="str">
        <f t="shared" ca="1" si="12"/>
        <v>=K42+M42</v>
      </c>
      <c r="K42" s="42">
        <f>E42*(1-'Partial Budget'!$G$10/100)</f>
        <v>42.532620268897084</v>
      </c>
      <c r="L42" s="17" t="str">
        <f t="shared" ca="1" si="8"/>
        <v>=E42*(1-'Partial Budget'!$G$10/100)</v>
      </c>
      <c r="M42" s="42">
        <f>E42*'Partial Budget'!$G$10/100</f>
        <v>142.39181568282939</v>
      </c>
      <c r="N42" s="17" t="str">
        <f t="shared" ca="1" si="9"/>
        <v>=E42*'Partial Budget'!$G$10/100</v>
      </c>
    </row>
    <row r="43" spans="1:19" x14ac:dyDescent="0.25">
      <c r="B43" s="1" t="s">
        <v>464</v>
      </c>
      <c r="E43" s="14">
        <f>(E78+E90)/(1-E132)</f>
        <v>135.81488933601611</v>
      </c>
      <c r="F43" s="17" t="str">
        <f t="shared" ca="1" si="10"/>
        <v>=(E78+E90)/(1-E132)</v>
      </c>
      <c r="G43" s="17"/>
      <c r="I43" s="14">
        <f t="shared" si="11"/>
        <v>135.81488933601611</v>
      </c>
      <c r="J43" s="17" t="str">
        <f t="shared" ca="1" si="12"/>
        <v>=K43+M43</v>
      </c>
      <c r="K43" s="42">
        <f>E43*(1-'Partial Budget'!$G$10/100)</f>
        <v>31.237424547283702</v>
      </c>
      <c r="L43" s="17" t="str">
        <f t="shared" ca="1" si="8"/>
        <v>=E43*(1-'Partial Budget'!$G$10/100)</v>
      </c>
      <c r="M43" s="42">
        <f>E43*'Partial Budget'!$G$10/100</f>
        <v>104.5774647887324</v>
      </c>
      <c r="N43" s="17" t="str">
        <f t="shared" ca="1" si="9"/>
        <v>=E43*'Partial Budget'!$G$10/100</v>
      </c>
    </row>
    <row r="44" spans="1:19" x14ac:dyDescent="0.25">
      <c r="B44" s="1" t="s">
        <v>209</v>
      </c>
      <c r="C44" s="1" t="s">
        <v>34</v>
      </c>
      <c r="E44" s="14">
        <f>'Beef parameter'!C4</f>
        <v>10</v>
      </c>
      <c r="F44" s="17" t="str">
        <f t="shared" ca="1" si="10"/>
        <v>='Beef parameter'!C4</v>
      </c>
      <c r="G44" s="17"/>
      <c r="I44" s="14">
        <f>K44+M44</f>
        <v>7.0909399999999998</v>
      </c>
      <c r="J44" s="17" t="str">
        <f t="shared" ca="1" si="12"/>
        <v>=K44+M44</v>
      </c>
      <c r="K44" s="42">
        <f>K37*K136*(1-'Partial Budget'!G10/100)</f>
        <v>0.52899999999999991</v>
      </c>
      <c r="L44" s="17" t="str">
        <f t="shared" ca="1" si="8"/>
        <v>=K37*K136*(1-'Partial Budget'!G10/100)</v>
      </c>
      <c r="M44" s="42">
        <f>K37*K136*'Partial Budget'!G10/100+M37*M136</f>
        <v>6.5619399999999999</v>
      </c>
      <c r="N44" s="17" t="str">
        <f t="shared" ca="1" si="9"/>
        <v>=K37*K136*'Partial Budget'!G10/100+M37*M136</v>
      </c>
      <c r="S44" s="77"/>
    </row>
    <row r="45" spans="1:19" x14ac:dyDescent="0.25">
      <c r="B45" s="1" t="s">
        <v>311</v>
      </c>
      <c r="E45" s="14">
        <f>E44*0.5</f>
        <v>5</v>
      </c>
      <c r="F45" s="17" t="str">
        <f t="shared" ca="1" si="10"/>
        <v>=E44*0.5</v>
      </c>
      <c r="G45" s="17"/>
      <c r="I45" s="14">
        <f>I44*0.5</f>
        <v>3.5454699999999999</v>
      </c>
      <c r="J45" s="17" t="str">
        <f t="shared" ca="1" si="12"/>
        <v>=I44*0.5</v>
      </c>
      <c r="K45" s="42">
        <f>K44*0.5</f>
        <v>0.26449999999999996</v>
      </c>
      <c r="L45" s="17" t="str">
        <f t="shared" ca="1" si="8"/>
        <v>=K44*0.5</v>
      </c>
      <c r="M45" s="42">
        <f>M44*0.5</f>
        <v>3.2809699999999999</v>
      </c>
      <c r="N45" s="17" t="str">
        <f t="shared" ca="1" si="9"/>
        <v>=M44*0.5</v>
      </c>
      <c r="S45" s="77"/>
    </row>
    <row r="46" spans="1:19" x14ac:dyDescent="0.25">
      <c r="B46" s="1" t="s">
        <v>312</v>
      </c>
      <c r="E46" s="14">
        <f>E44*0.5</f>
        <v>5</v>
      </c>
      <c r="F46" s="17" t="str">
        <f t="shared" ca="1" si="10"/>
        <v>=E44*0.5</v>
      </c>
      <c r="G46" s="17"/>
      <c r="I46" s="14">
        <f>I44*0.5</f>
        <v>3.5454699999999999</v>
      </c>
      <c r="J46" s="17" t="str">
        <f t="shared" ca="1" si="12"/>
        <v>=I44*0.5</v>
      </c>
      <c r="K46" s="42">
        <f>K44*0.5</f>
        <v>0.26449999999999996</v>
      </c>
      <c r="L46" s="17" t="str">
        <f t="shared" ca="1" si="8"/>
        <v>=K44*0.5</v>
      </c>
      <c r="M46" s="42">
        <f>M44*0.5</f>
        <v>3.2809699999999999</v>
      </c>
      <c r="N46" s="17" t="str">
        <f t="shared" ca="1" si="9"/>
        <v>=M44*0.5</v>
      </c>
      <c r="S46" s="77"/>
    </row>
    <row r="47" spans="1:19" x14ac:dyDescent="0.25">
      <c r="B47" s="1" t="s">
        <v>178</v>
      </c>
      <c r="E47" s="14">
        <f>SUMPRODUCT(E37:E43,E120:E126)</f>
        <v>4102.5341141415902</v>
      </c>
      <c r="F47" s="17" t="str">
        <f t="shared" ca="1" si="10"/>
        <v>=SUMPRODUCT(E37:E43,E120:E126)</v>
      </c>
      <c r="G47" s="17"/>
      <c r="I47" s="14">
        <f>SUMPRODUCT(I37:I43,I120:I126)</f>
        <v>4102.5341141415902</v>
      </c>
      <c r="J47" s="17" t="str">
        <f t="shared" ca="1" si="12"/>
        <v>=SUMPRODUCT(I37:I43,I120:I126)</v>
      </c>
      <c r="K47" s="5"/>
      <c r="L47" s="5"/>
      <c r="M47" s="5"/>
      <c r="N47" s="5"/>
    </row>
    <row r="48" spans="1:19" x14ac:dyDescent="0.25">
      <c r="E48" s="5"/>
      <c r="F48" s="17"/>
      <c r="G48" s="17"/>
      <c r="I48" s="5"/>
      <c r="K48" s="5"/>
      <c r="L48" s="17"/>
      <c r="M48" s="5"/>
      <c r="N48" s="17"/>
    </row>
    <row r="49" spans="2:14" x14ac:dyDescent="0.25">
      <c r="B49" s="2" t="s">
        <v>480</v>
      </c>
      <c r="E49" s="7"/>
      <c r="F49" s="17"/>
      <c r="G49" s="17"/>
      <c r="I49" s="7"/>
      <c r="K49" s="7"/>
      <c r="L49" s="17"/>
      <c r="M49" s="7"/>
      <c r="N49" s="17"/>
    </row>
    <row r="50" spans="2:14" x14ac:dyDescent="0.25">
      <c r="B50" s="1" t="s">
        <v>210</v>
      </c>
      <c r="C50" s="1" t="s">
        <v>34</v>
      </c>
      <c r="E50" s="14">
        <f>IF((E38+E79-E45)/(1-E133)&lt;0,0,(E38+E79-E45)/(1-E133))</f>
        <v>42.268658396228822</v>
      </c>
      <c r="F50" s="17" t="str">
        <f ca="1">_xlfn.FORMULATEXT(E50)</f>
        <v>=IF((E38+E79-E45)/(1-E133)&lt;0,0,(E38+E79-E45)/(1-E133))</v>
      </c>
      <c r="G50" s="17"/>
      <c r="I50" s="131">
        <f>I55-I45</f>
        <v>43.723188396228821</v>
      </c>
      <c r="J50" s="132" t="str">
        <f ca="1">_xlfn.FORMULATEXT(I50)</f>
        <v>=I55-I45</v>
      </c>
      <c r="K50" s="120">
        <f>I50*(1-'Partial Budget'!$G$10/100)</f>
        <v>10.056333331132628</v>
      </c>
      <c r="L50" s="132" t="str">
        <f ca="1">_xlfn.FORMULATEXT(K50)</f>
        <v>=I50*(1-'Partial Budget'!$G$10/100)</v>
      </c>
      <c r="M50" s="120">
        <f>I50*'Partial Budget'!$G$10/100</f>
        <v>33.666855065096193</v>
      </c>
      <c r="N50" s="17" t="str">
        <f ca="1">_xlfn.FORMULATEXT(M50)</f>
        <v>=I50*'Partial Budget'!$G$10/100</v>
      </c>
    </row>
    <row r="51" spans="2:14" x14ac:dyDescent="0.25">
      <c r="B51" s="1" t="s">
        <v>211</v>
      </c>
      <c r="C51" s="1" t="s">
        <v>34</v>
      </c>
      <c r="E51" s="14">
        <f>IF((E40+E80-E46)/(1-E133)&lt;0,0,(E40+E80-E46)/(1-E133))</f>
        <v>198.00199680723293</v>
      </c>
      <c r="F51" s="17" t="str">
        <f ca="1">_xlfn.FORMULATEXT(E51)</f>
        <v>=IF((E40+E80-E46)/(1-E133)&lt;0,0,(E40+E80-E46)/(1-E133))</v>
      </c>
      <c r="G51" s="17"/>
      <c r="I51" s="131">
        <f>I56-I46</f>
        <v>199.45652680723293</v>
      </c>
      <c r="J51" s="132" t="str">
        <f ca="1">_xlfn.FORMULATEXT(I51)</f>
        <v>=I56-I46</v>
      </c>
      <c r="K51" s="120">
        <f>I51*(1-'Partial Budget'!$G$10/100)</f>
        <v>45.875001165663569</v>
      </c>
      <c r="L51" s="132" t="str">
        <f ca="1">_xlfn.FORMULATEXT(K51)</f>
        <v>=I51*(1-'Partial Budget'!$G$10/100)</v>
      </c>
      <c r="M51" s="120">
        <f>I51*'Partial Budget'!$G$10/100</f>
        <v>153.58152564156936</v>
      </c>
      <c r="N51" s="17" t="str">
        <f ca="1">_xlfn.FORMULATEXT(M51)</f>
        <v>=I51*'Partial Budget'!$G$10/100</v>
      </c>
    </row>
    <row r="52" spans="2:14" x14ac:dyDescent="0.25">
      <c r="B52" s="1" t="s">
        <v>212</v>
      </c>
      <c r="C52" s="1" t="s">
        <v>34</v>
      </c>
      <c r="E52" s="14">
        <f>(E42+E81)/(1-E133)</f>
        <v>193.60289087841639</v>
      </c>
      <c r="F52" s="17" t="str">
        <f ca="1">_xlfn.FORMULATEXT(E52)</f>
        <v>=(E42+E81)/(1-E133)</v>
      </c>
      <c r="G52" s="17"/>
      <c r="I52" s="131">
        <f>I57</f>
        <v>193.60289087841639</v>
      </c>
      <c r="J52" s="132" t="str">
        <f ca="1">_xlfn.FORMULATEXT(I52)</f>
        <v>=I57</v>
      </c>
      <c r="K52" s="120">
        <f>I52*(1-'Partial Budget'!$G$10/100)</f>
        <v>44.528664902035764</v>
      </c>
      <c r="L52" s="132" t="str">
        <f ca="1">_xlfn.FORMULATEXT(K52)</f>
        <v>=I52*(1-'Partial Budget'!$G$10/100)</v>
      </c>
      <c r="M52" s="120">
        <f>I52*'Partial Budget'!$G$10/100</f>
        <v>149.07422597638063</v>
      </c>
      <c r="N52" s="17" t="str">
        <f ca="1">_xlfn.FORMULATEXT(M52)</f>
        <v>=I52*'Partial Budget'!$G$10/100</v>
      </c>
    </row>
    <row r="53" spans="2:14" x14ac:dyDescent="0.25">
      <c r="F53" s="17"/>
      <c r="G53" s="17"/>
      <c r="H53" s="17"/>
      <c r="I53" s="17"/>
      <c r="J53" s="17"/>
      <c r="K53" s="17"/>
      <c r="L53" s="17"/>
      <c r="M53" s="17"/>
      <c r="N53" s="17"/>
    </row>
    <row r="54" spans="2:14" x14ac:dyDescent="0.25">
      <c r="B54" s="2" t="s">
        <v>313</v>
      </c>
      <c r="E54" s="7"/>
      <c r="F54" s="17"/>
      <c r="G54" s="17"/>
      <c r="H54" s="17"/>
      <c r="I54" s="17"/>
      <c r="J54" s="17"/>
      <c r="K54" s="17"/>
      <c r="L54" s="17"/>
      <c r="M54" s="17"/>
      <c r="N54" s="17"/>
    </row>
    <row r="55" spans="2:14" x14ac:dyDescent="0.25">
      <c r="B55" s="1" t="s">
        <v>210</v>
      </c>
      <c r="C55" s="1" t="s">
        <v>34</v>
      </c>
      <c r="E55" s="14">
        <f>E45+E50</f>
        <v>47.268658396228822</v>
      </c>
      <c r="F55" s="17" t="str">
        <f ca="1">_xlfn.FORMULATEXT(E55)</f>
        <v>=E45+E50</v>
      </c>
      <c r="G55" s="17"/>
      <c r="I55" s="14">
        <f>E55</f>
        <v>47.268658396228822</v>
      </c>
      <c r="J55" s="17" t="str">
        <f ca="1">_xlfn.FORMULATEXT(I55)</f>
        <v>=E55</v>
      </c>
      <c r="K55" s="42">
        <f>K45+K50</f>
        <v>10.320833331132627</v>
      </c>
      <c r="L55" s="17" t="str">
        <f ca="1">_xlfn.FORMULATEXT(K55)</f>
        <v>=K45+K50</v>
      </c>
      <c r="M55" s="42">
        <f>M45+M50</f>
        <v>36.947825065096197</v>
      </c>
      <c r="N55" s="17" t="str">
        <f ca="1">_xlfn.FORMULATEXT(M55)</f>
        <v>=M45+M50</v>
      </c>
    </row>
    <row r="56" spans="2:14" x14ac:dyDescent="0.25">
      <c r="B56" s="1" t="s">
        <v>211</v>
      </c>
      <c r="C56" s="1" t="s">
        <v>34</v>
      </c>
      <c r="E56" s="14">
        <f>E46+E51</f>
        <v>203.00199680723293</v>
      </c>
      <c r="F56" s="17" t="str">
        <f ca="1">_xlfn.FORMULATEXT(E56)</f>
        <v>=E46+E51</v>
      </c>
      <c r="G56" s="17"/>
      <c r="I56" s="14">
        <f>E56</f>
        <v>203.00199680723293</v>
      </c>
      <c r="J56" s="17" t="str">
        <f ca="1">_xlfn.FORMULATEXT(I56)</f>
        <v>=E56</v>
      </c>
      <c r="K56" s="42">
        <f>K46+K51</f>
        <v>46.139501165663567</v>
      </c>
      <c r="L56" s="17" t="str">
        <f ca="1">_xlfn.FORMULATEXT(K56)</f>
        <v>=K46+K51</v>
      </c>
      <c r="M56" s="42">
        <f>M46+M51</f>
        <v>156.86249564156935</v>
      </c>
      <c r="N56" s="17" t="str">
        <f ca="1">_xlfn.FORMULATEXT(M56)</f>
        <v>=M46+M51</v>
      </c>
    </row>
    <row r="57" spans="2:14" x14ac:dyDescent="0.25">
      <c r="B57" s="1" t="s">
        <v>212</v>
      </c>
      <c r="C57" s="1" t="s">
        <v>34</v>
      </c>
      <c r="E57" s="14">
        <f>E52</f>
        <v>193.60289087841639</v>
      </c>
      <c r="F57" s="17" t="str">
        <f ca="1">_xlfn.FORMULATEXT(E57)</f>
        <v>=E52</v>
      </c>
      <c r="G57" s="17"/>
      <c r="I57" s="14">
        <f>E57</f>
        <v>193.60289087841639</v>
      </c>
      <c r="J57" s="17" t="str">
        <f ca="1">_xlfn.FORMULATEXT(I57)</f>
        <v>=E57</v>
      </c>
      <c r="K57" s="42">
        <f>K52</f>
        <v>44.528664902035764</v>
      </c>
      <c r="L57" s="17" t="str">
        <f ca="1">_xlfn.FORMULATEXT(K57)</f>
        <v>=K52</v>
      </c>
      <c r="M57" s="42">
        <f>M52</f>
        <v>149.07422597638063</v>
      </c>
      <c r="N57" s="17" t="str">
        <f ca="1">_xlfn.FORMULATEXT(M57)</f>
        <v>=M52</v>
      </c>
    </row>
    <row r="58" spans="2:14" x14ac:dyDescent="0.25">
      <c r="F58" s="17"/>
      <c r="G58" s="17"/>
      <c r="I58" s="6"/>
      <c r="K58" s="6"/>
      <c r="L58" s="6"/>
      <c r="M58" s="6"/>
      <c r="N58" s="6"/>
    </row>
    <row r="59" spans="2:14" x14ac:dyDescent="0.25">
      <c r="B59" s="2" t="s">
        <v>103</v>
      </c>
      <c r="E59" s="5"/>
      <c r="F59" s="17"/>
      <c r="G59" s="17"/>
      <c r="I59" s="5"/>
      <c r="K59" s="5"/>
      <c r="L59" s="17"/>
      <c r="M59" s="5"/>
      <c r="N59" s="17"/>
    </row>
    <row r="60" spans="2:14" x14ac:dyDescent="0.25">
      <c r="B60" s="1" t="s">
        <v>214</v>
      </c>
      <c r="C60" s="1" t="s">
        <v>34</v>
      </c>
      <c r="E60" s="14">
        <f t="shared" ref="E60:E66" si="13">E37*$E$132</f>
        <v>6.6000000000000003E-2</v>
      </c>
      <c r="F60" s="17" t="str">
        <f ca="1">_xlfn.FORMULATEXT(E60)</f>
        <v>=E37*$E$132</v>
      </c>
      <c r="G60" s="17"/>
      <c r="I60" s="14">
        <f t="shared" ref="I60:I69" si="14">K60+M60</f>
        <v>6.6000000000000003E-2</v>
      </c>
      <c r="J60" s="17" t="str">
        <f ca="1">_xlfn.FORMULATEXT(I60)</f>
        <v>=K60+M60</v>
      </c>
      <c r="K60" s="42">
        <f t="shared" ref="K60:K66" si="15">K37*$K$132</f>
        <v>1.5179999999999999E-2</v>
      </c>
      <c r="L60" s="17" t="str">
        <f ca="1">_xlfn.FORMULATEXT(K60)</f>
        <v>=K37*$K$132</v>
      </c>
      <c r="M60" s="42">
        <f t="shared" ref="M60:M66" si="16">M37*$M$132</f>
        <v>5.0820000000000004E-2</v>
      </c>
      <c r="N60" s="17" t="str">
        <f t="shared" ref="N60:N69" ca="1" si="17">_xlfn.FORMULATEXT(M60)</f>
        <v>=M37*$M$132</v>
      </c>
    </row>
    <row r="61" spans="2:14" x14ac:dyDescent="0.25">
      <c r="B61" s="1" t="s">
        <v>207</v>
      </c>
      <c r="C61" s="1" t="s">
        <v>34</v>
      </c>
      <c r="E61" s="14">
        <f t="shared" si="13"/>
        <v>0.27279332332020284</v>
      </c>
      <c r="F61" s="17" t="str">
        <f t="shared" ref="F61:F69" ca="1" si="18">_xlfn.FORMULATEXT(E61)</f>
        <v>=E38*$E$132</v>
      </c>
      <c r="G61" s="17"/>
      <c r="I61" s="14">
        <f t="shared" si="14"/>
        <v>0.2727933233202029</v>
      </c>
      <c r="J61" s="17" t="str">
        <f t="shared" ref="J61:L69" ca="1" si="19">_xlfn.FORMULATEXT(I61)</f>
        <v>=K61+M61</v>
      </c>
      <c r="K61" s="42">
        <f t="shared" si="15"/>
        <v>6.2742464363646652E-2</v>
      </c>
      <c r="L61" s="17" t="str">
        <f t="shared" ca="1" si="19"/>
        <v>=K38*$K$132</v>
      </c>
      <c r="M61" s="42">
        <f t="shared" si="16"/>
        <v>0.21005085895655623</v>
      </c>
      <c r="N61" s="17" t="str">
        <f t="shared" ca="1" si="17"/>
        <v>=M38*$M$132</v>
      </c>
    </row>
    <row r="62" spans="2:14" x14ac:dyDescent="0.25">
      <c r="B62" s="1" t="s">
        <v>458</v>
      </c>
      <c r="C62" s="1" t="s">
        <v>34</v>
      </c>
      <c r="E62" s="14">
        <f t="shared" si="13"/>
        <v>0.12676056338028169</v>
      </c>
      <c r="F62" s="17" t="str">
        <f t="shared" ca="1" si="18"/>
        <v>=E39*$E$132</v>
      </c>
      <c r="G62" s="17"/>
      <c r="I62" s="14">
        <f t="shared" si="14"/>
        <v>0.12676056338028169</v>
      </c>
      <c r="J62" s="17" t="str">
        <f t="shared" ca="1" si="19"/>
        <v>=K62+M62</v>
      </c>
      <c r="K62" s="42">
        <f t="shared" si="15"/>
        <v>2.9154929577464784E-2</v>
      </c>
      <c r="L62" s="17" t="str">
        <f t="shared" ca="1" si="19"/>
        <v>=K39*$K$132</v>
      </c>
      <c r="M62" s="42">
        <f t="shared" si="16"/>
        <v>9.7605633802816893E-2</v>
      </c>
      <c r="N62" s="17" t="str">
        <f t="shared" ca="1" si="17"/>
        <v>=M39*$M$132</v>
      </c>
    </row>
    <row r="63" spans="2:14" x14ac:dyDescent="0.25">
      <c r="B63" s="1" t="s">
        <v>208</v>
      </c>
      <c r="C63" s="1" t="s">
        <v>34</v>
      </c>
      <c r="E63" s="14">
        <f t="shared" si="13"/>
        <v>1.153439753207373</v>
      </c>
      <c r="F63" s="17" t="str">
        <f t="shared" ca="1" si="18"/>
        <v>=E40*$E$132</v>
      </c>
      <c r="G63" s="17"/>
      <c r="I63" s="14">
        <f t="shared" si="14"/>
        <v>1.153439753207373</v>
      </c>
      <c r="J63" s="17" t="str">
        <f t="shared" ca="1" si="19"/>
        <v>=K63+M63</v>
      </c>
      <c r="K63" s="42">
        <f t="shared" si="15"/>
        <v>0.26529114323769576</v>
      </c>
      <c r="L63" s="17" t="str">
        <f t="shared" ca="1" si="19"/>
        <v>=K40*$K$132</v>
      </c>
      <c r="M63" s="42">
        <f t="shared" si="16"/>
        <v>0.88814860996967715</v>
      </c>
      <c r="N63" s="17" t="str">
        <f t="shared" ca="1" si="17"/>
        <v>=M40*$M$132</v>
      </c>
    </row>
    <row r="64" spans="2:14" x14ac:dyDescent="0.25">
      <c r="B64" s="1" t="s">
        <v>459</v>
      </c>
      <c r="C64" s="1" t="s">
        <v>34</v>
      </c>
      <c r="E64" s="14">
        <f t="shared" si="13"/>
        <v>1.0865191146881288</v>
      </c>
      <c r="F64" s="17" t="str">
        <f t="shared" ca="1" si="18"/>
        <v>=E41*$E$132</v>
      </c>
      <c r="G64" s="17"/>
      <c r="I64" s="14">
        <f t="shared" si="14"/>
        <v>1.0865191146881288</v>
      </c>
      <c r="J64" s="17" t="str">
        <f t="shared" ca="1" si="19"/>
        <v>=K64+M64</v>
      </c>
      <c r="K64" s="42">
        <f t="shared" si="15"/>
        <v>0.24989939637826961</v>
      </c>
      <c r="L64" s="17" t="str">
        <f t="shared" ca="1" si="19"/>
        <v>=K41*$K$132</v>
      </c>
      <c r="M64" s="42">
        <f t="shared" si="16"/>
        <v>0.83661971830985915</v>
      </c>
      <c r="N64" s="17" t="str">
        <f t="shared" ca="1" si="17"/>
        <v>=M41*$M$132</v>
      </c>
    </row>
    <row r="65" spans="2:14" x14ac:dyDescent="0.25">
      <c r="B65" s="1" t="s">
        <v>460</v>
      </c>
      <c r="C65" s="1" t="s">
        <v>34</v>
      </c>
      <c r="E65" s="14">
        <f t="shared" si="13"/>
        <v>1.1095466157103588</v>
      </c>
      <c r="F65" s="17" t="str">
        <f t="shared" ca="1" si="18"/>
        <v>=E42*$E$132</v>
      </c>
      <c r="G65" s="17"/>
      <c r="I65" s="14">
        <f t="shared" si="14"/>
        <v>1.1095466157103588</v>
      </c>
      <c r="J65" s="17" t="str">
        <f t="shared" ca="1" si="19"/>
        <v>=K65+M65</v>
      </c>
      <c r="K65" s="42">
        <f t="shared" si="15"/>
        <v>0.2551957216133825</v>
      </c>
      <c r="L65" s="17" t="str">
        <f t="shared" ca="1" si="19"/>
        <v>=K42*$K$132</v>
      </c>
      <c r="M65" s="42">
        <f t="shared" si="16"/>
        <v>0.8543508940969764</v>
      </c>
      <c r="N65" s="17" t="str">
        <f t="shared" ca="1" si="17"/>
        <v>=M42*$M$132</v>
      </c>
    </row>
    <row r="66" spans="2:14" x14ac:dyDescent="0.25">
      <c r="B66" s="1" t="s">
        <v>465</v>
      </c>
      <c r="C66" s="1" t="s">
        <v>34</v>
      </c>
      <c r="E66" s="14">
        <f t="shared" si="13"/>
        <v>0.8148893360160967</v>
      </c>
      <c r="F66" s="17" t="str">
        <f t="shared" ca="1" si="18"/>
        <v>=E43*$E$132</v>
      </c>
      <c r="G66" s="17"/>
      <c r="I66" s="14">
        <f t="shared" si="14"/>
        <v>0.8148893360160967</v>
      </c>
      <c r="J66" s="17" t="str">
        <f t="shared" ca="1" si="19"/>
        <v>=K66+M66</v>
      </c>
      <c r="K66" s="42">
        <f t="shared" si="15"/>
        <v>0.18742454728370223</v>
      </c>
      <c r="L66" s="17" t="str">
        <f t="shared" ca="1" si="19"/>
        <v>=K43*$K$132</v>
      </c>
      <c r="M66" s="42">
        <f t="shared" si="16"/>
        <v>0.62746478873239442</v>
      </c>
      <c r="N66" s="17" t="str">
        <f t="shared" ca="1" si="17"/>
        <v>=M43*$M$132</v>
      </c>
    </row>
    <row r="67" spans="2:14" x14ac:dyDescent="0.25">
      <c r="B67" s="1" t="s">
        <v>210</v>
      </c>
      <c r="C67" s="1" t="s">
        <v>34</v>
      </c>
      <c r="E67" s="14">
        <f>E55*$E$133</f>
        <v>0.89810450952834764</v>
      </c>
      <c r="F67" s="17" t="str">
        <f t="shared" ca="1" si="18"/>
        <v>=E55*$E$133</v>
      </c>
      <c r="G67" s="17"/>
      <c r="I67" s="14">
        <f t="shared" si="14"/>
        <v>1.8218001361557525</v>
      </c>
      <c r="J67" s="17" t="str">
        <f t="shared" ca="1" si="19"/>
        <v>=K67+M67</v>
      </c>
      <c r="K67" s="42">
        <f>K55*$K$133</f>
        <v>0.19609583329151992</v>
      </c>
      <c r="L67" s="17" t="str">
        <f t="shared" ca="1" si="19"/>
        <v>=K55*$K$133</v>
      </c>
      <c r="M67" s="42">
        <f>M55*$M$133</f>
        <v>1.6257043028642326</v>
      </c>
      <c r="N67" s="17" t="str">
        <f t="shared" ca="1" si="17"/>
        <v>=M55*$M$133</v>
      </c>
    </row>
    <row r="68" spans="2:14" x14ac:dyDescent="0.25">
      <c r="B68" s="1" t="s">
        <v>211</v>
      </c>
      <c r="C68" s="1" t="s">
        <v>34</v>
      </c>
      <c r="E68" s="14">
        <f>E56*$E$133</f>
        <v>3.8570379393374257</v>
      </c>
      <c r="F68" s="17" t="str">
        <f t="shared" ca="1" si="18"/>
        <v>=E56*$E$133</v>
      </c>
      <c r="G68" s="17"/>
      <c r="I68" s="14">
        <f t="shared" si="14"/>
        <v>7.7786003303766584</v>
      </c>
      <c r="J68" s="17" t="str">
        <f t="shared" ca="1" si="19"/>
        <v>=K68+M68</v>
      </c>
      <c r="K68" s="42">
        <f>K56*$K$133</f>
        <v>0.87665052214760775</v>
      </c>
      <c r="L68" s="17" t="str">
        <f t="shared" ca="1" si="19"/>
        <v>=K56*$K$133</v>
      </c>
      <c r="M68" s="42">
        <f>M56*$M$133</f>
        <v>6.9019498082290509</v>
      </c>
      <c r="N68" s="17" t="str">
        <f t="shared" ca="1" si="17"/>
        <v>=M56*$M$133</v>
      </c>
    </row>
    <row r="69" spans="2:14" x14ac:dyDescent="0.25">
      <c r="B69" s="1" t="s">
        <v>212</v>
      </c>
      <c r="C69" s="1" t="s">
        <v>34</v>
      </c>
      <c r="E69" s="14">
        <f>E57*$E$133</f>
        <v>3.6784549266899114</v>
      </c>
      <c r="F69" s="17" t="str">
        <f t="shared" ca="1" si="18"/>
        <v>=E57*$E$133</v>
      </c>
      <c r="G69" s="17"/>
      <c r="I69" s="14">
        <f t="shared" si="14"/>
        <v>7.4053105760994269</v>
      </c>
      <c r="J69" s="17" t="str">
        <f t="shared" ca="1" si="19"/>
        <v>=K69+M69</v>
      </c>
      <c r="K69" s="42">
        <f>K57*$K$133</f>
        <v>0.8460446331386795</v>
      </c>
      <c r="L69" s="17" t="str">
        <f t="shared" ca="1" si="19"/>
        <v>=K57*$K$133</v>
      </c>
      <c r="M69" s="42">
        <f>M57*$M$133</f>
        <v>6.5592659429607476</v>
      </c>
      <c r="N69" s="17" t="str">
        <f t="shared" ca="1" si="17"/>
        <v>=M57*$M$133</v>
      </c>
    </row>
    <row r="70" spans="2:14" x14ac:dyDescent="0.25">
      <c r="E70" s="7"/>
      <c r="F70" s="17"/>
      <c r="G70" s="17"/>
      <c r="I70" s="7"/>
      <c r="K70" s="7"/>
      <c r="L70" s="17"/>
      <c r="M70" s="7"/>
      <c r="N70" s="17"/>
    </row>
    <row r="71" spans="2:14" x14ac:dyDescent="0.25">
      <c r="B71" s="2" t="s">
        <v>181</v>
      </c>
      <c r="E71" s="33"/>
      <c r="F71" s="17"/>
      <c r="G71" s="17"/>
      <c r="I71" s="17"/>
      <c r="J71" s="17"/>
      <c r="K71" s="17"/>
      <c r="L71" s="17"/>
      <c r="M71" s="17"/>
      <c r="N71" s="17"/>
    </row>
    <row r="72" spans="2:14" x14ac:dyDescent="0.25">
      <c r="B72" s="1" t="s">
        <v>214</v>
      </c>
      <c r="C72" s="1" t="s">
        <v>34</v>
      </c>
      <c r="E72" s="14">
        <v>0</v>
      </c>
      <c r="F72" s="17" t="e">
        <f t="shared" ref="F72:F80" ca="1" si="20">_xlfn.FORMULATEXT(E72)</f>
        <v>#N/A</v>
      </c>
      <c r="G72" s="17"/>
      <c r="I72" s="118">
        <f t="shared" ref="I72:I78" si="21">K72+M72</f>
        <v>0</v>
      </c>
      <c r="J72" s="17" t="str">
        <f t="shared" ref="J72:J78" ca="1" si="22">_xlfn.FORMULATEXT(I72)</f>
        <v>=K72+M72</v>
      </c>
      <c r="K72" s="44">
        <f t="shared" ref="K72:K78" si="23">K37*K141*(1-K152)</f>
        <v>0</v>
      </c>
      <c r="L72" s="17" t="str">
        <f ca="1">_xlfn.FORMULATEXT(K72)</f>
        <v>=K37*K141*(1-K152)</v>
      </c>
      <c r="M72" s="44">
        <f t="shared" ref="M72:M78" si="24">M37*M141*(1-M152)</f>
        <v>0</v>
      </c>
      <c r="N72" s="17" t="str">
        <f ca="1">_xlfn.FORMULATEXT(M72)</f>
        <v>=M37*M141*(1-M152)</v>
      </c>
    </row>
    <row r="73" spans="2:14" x14ac:dyDescent="0.25">
      <c r="B73" s="1" t="s">
        <v>207</v>
      </c>
      <c r="C73" s="1" t="s">
        <v>34</v>
      </c>
      <c r="E73" s="14">
        <f>'Beef parameter'!C17</f>
        <v>12</v>
      </c>
      <c r="F73" s="17" t="str">
        <f t="shared" ca="1" si="20"/>
        <v>='Beef parameter'!C17</v>
      </c>
      <c r="G73" s="17"/>
      <c r="I73" s="118">
        <f t="shared" si="21"/>
        <v>12</v>
      </c>
      <c r="J73" s="17" t="str">
        <f t="shared" ca="1" si="22"/>
        <v>=K73+M73</v>
      </c>
      <c r="K73" s="44">
        <f>K38*K142*(1-K153)</f>
        <v>2.7599999999999993</v>
      </c>
      <c r="L73" s="17" t="str">
        <f t="shared" ref="L73:L81" ca="1" si="25">_xlfn.FORMULATEXT(K73)</f>
        <v>=K38*K142*(1-K153)</v>
      </c>
      <c r="M73" s="44">
        <f t="shared" si="24"/>
        <v>9.24</v>
      </c>
      <c r="N73" s="17" t="str">
        <f t="shared" ref="N73:N81" ca="1" si="26">_xlfn.FORMULATEXT(M73)</f>
        <v>=M38*M142*(1-M153)</v>
      </c>
    </row>
    <row r="74" spans="2:14" x14ac:dyDescent="0.25">
      <c r="B74" s="1" t="s">
        <v>458</v>
      </c>
      <c r="C74" s="1" t="s">
        <v>34</v>
      </c>
      <c r="E74" s="14">
        <v>0</v>
      </c>
      <c r="F74" s="17" t="e">
        <f t="shared" ca="1" si="20"/>
        <v>#N/A</v>
      </c>
      <c r="G74" s="17"/>
      <c r="I74" s="118">
        <f t="shared" si="21"/>
        <v>0</v>
      </c>
      <c r="J74" s="17" t="str">
        <f t="shared" ca="1" si="22"/>
        <v>=K74+M74</v>
      </c>
      <c r="K74" s="44">
        <f t="shared" si="23"/>
        <v>0</v>
      </c>
      <c r="L74" s="17" t="str">
        <f t="shared" ca="1" si="25"/>
        <v>=K39*K143*(1-K154)</v>
      </c>
      <c r="M74" s="44">
        <f t="shared" si="24"/>
        <v>0</v>
      </c>
      <c r="N74" s="17" t="str">
        <f t="shared" ca="1" si="26"/>
        <v>=M39*M143*(1-M154)</v>
      </c>
    </row>
    <row r="75" spans="2:14" x14ac:dyDescent="0.25">
      <c r="B75" s="1" t="s">
        <v>208</v>
      </c>
      <c r="C75" s="1" t="s">
        <v>34</v>
      </c>
      <c r="E75" s="14">
        <f>'Beef parameter'!C15</f>
        <v>9</v>
      </c>
      <c r="F75" s="17" t="str">
        <f t="shared" ca="1" si="20"/>
        <v>='Beef parameter'!C15</v>
      </c>
      <c r="G75" s="17"/>
      <c r="I75" s="118">
        <f t="shared" si="21"/>
        <v>9</v>
      </c>
      <c r="J75" s="17" t="str">
        <f t="shared" ca="1" si="22"/>
        <v>=K75+M75</v>
      </c>
      <c r="K75" s="44">
        <f t="shared" si="23"/>
        <v>2.0699999999999998</v>
      </c>
      <c r="L75" s="17" t="str">
        <f t="shared" ca="1" si="25"/>
        <v>=K40*K144*(1-K155)</v>
      </c>
      <c r="M75" s="44">
        <f t="shared" si="24"/>
        <v>6.93</v>
      </c>
      <c r="N75" s="17" t="str">
        <f t="shared" ca="1" si="26"/>
        <v>=M40*M144*(1-M155)</v>
      </c>
    </row>
    <row r="76" spans="2:14" x14ac:dyDescent="0.25">
      <c r="B76" s="1" t="s">
        <v>459</v>
      </c>
      <c r="C76" s="1" t="s">
        <v>34</v>
      </c>
      <c r="E76" s="14">
        <v>0</v>
      </c>
      <c r="F76" s="17" t="e">
        <f t="shared" ca="1" si="20"/>
        <v>#N/A</v>
      </c>
      <c r="G76" s="17"/>
      <c r="I76" s="118">
        <f t="shared" si="21"/>
        <v>0</v>
      </c>
      <c r="J76" s="17" t="str">
        <f t="shared" ca="1" si="22"/>
        <v>=K76+M76</v>
      </c>
      <c r="K76" s="44">
        <f t="shared" si="23"/>
        <v>0</v>
      </c>
      <c r="L76" s="17" t="str">
        <f t="shared" ca="1" si="25"/>
        <v>=K41*K145*(1-K156)</v>
      </c>
      <c r="M76" s="44">
        <f t="shared" si="24"/>
        <v>0</v>
      </c>
      <c r="N76" s="17" t="str">
        <f t="shared" ca="1" si="26"/>
        <v>=M41*M145*(1-M156)</v>
      </c>
    </row>
    <row r="77" spans="2:14" x14ac:dyDescent="0.25">
      <c r="B77" s="1" t="s">
        <v>460</v>
      </c>
      <c r="C77" s="1" t="s">
        <v>34</v>
      </c>
      <c r="E77" s="14">
        <f>'Beef parameter'!C19</f>
        <v>48</v>
      </c>
      <c r="F77" s="17" t="str">
        <f t="shared" ca="1" si="20"/>
        <v>='Beef parameter'!C19</v>
      </c>
      <c r="G77" s="17"/>
      <c r="I77" s="118">
        <f t="shared" si="21"/>
        <v>48</v>
      </c>
      <c r="J77" s="17" t="str">
        <f t="shared" ca="1" si="22"/>
        <v>=K77+M77</v>
      </c>
      <c r="K77" s="44">
        <f t="shared" si="23"/>
        <v>11.04</v>
      </c>
      <c r="L77" s="17" t="str">
        <f t="shared" ca="1" si="25"/>
        <v>=K42*K146*(1-K157)</v>
      </c>
      <c r="M77" s="44">
        <f t="shared" si="24"/>
        <v>36.96</v>
      </c>
      <c r="N77" s="17" t="str">
        <f t="shared" ca="1" si="26"/>
        <v>=M42*M146*(1-M157)</v>
      </c>
    </row>
    <row r="78" spans="2:14" x14ac:dyDescent="0.25">
      <c r="B78" s="1" t="s">
        <v>465</v>
      </c>
      <c r="C78" s="1" t="s">
        <v>34</v>
      </c>
      <c r="E78" s="14">
        <v>0</v>
      </c>
      <c r="F78" s="17" t="e">
        <f t="shared" ca="1" si="20"/>
        <v>#N/A</v>
      </c>
      <c r="G78" s="17"/>
      <c r="I78" s="118">
        <f t="shared" si="21"/>
        <v>0</v>
      </c>
      <c r="J78" s="17" t="str">
        <f t="shared" ca="1" si="22"/>
        <v>=K78+M78</v>
      </c>
      <c r="K78" s="44">
        <f t="shared" si="23"/>
        <v>0</v>
      </c>
      <c r="L78" s="17" t="str">
        <f t="shared" ca="1" si="25"/>
        <v>=K43*K147*(1-K158)</v>
      </c>
      <c r="M78" s="44">
        <f t="shared" si="24"/>
        <v>0</v>
      </c>
      <c r="N78" s="17" t="str">
        <f t="shared" ca="1" si="26"/>
        <v>=M43*M147*(1-M158)</v>
      </c>
    </row>
    <row r="79" spans="2:14" x14ac:dyDescent="0.25">
      <c r="B79" s="1" t="s">
        <v>210</v>
      </c>
      <c r="C79" s="1" t="s">
        <v>34</v>
      </c>
      <c r="E79" s="14">
        <f>'Beef parameter'!C11</f>
        <v>1</v>
      </c>
      <c r="F79" s="17" t="str">
        <f t="shared" ca="1" si="20"/>
        <v>='Beef parameter'!C11</v>
      </c>
      <c r="G79" s="17"/>
      <c r="I79" s="118">
        <f>K79+M79</f>
        <v>1</v>
      </c>
      <c r="J79" s="17" t="str">
        <f ca="1">_xlfn.FORMULATEXT(I79)</f>
        <v>=K79+M79</v>
      </c>
      <c r="K79" s="44">
        <f>K55*K148</f>
        <v>0.21834411386543692</v>
      </c>
      <c r="L79" s="17" t="str">
        <f t="shared" ca="1" si="25"/>
        <v>=K55*K148</v>
      </c>
      <c r="M79" s="44">
        <f>M55*M148</f>
        <v>0.78165588613456305</v>
      </c>
      <c r="N79" s="17" t="str">
        <f t="shared" ca="1" si="26"/>
        <v>=M55*M148</v>
      </c>
    </row>
    <row r="80" spans="2:14" x14ac:dyDescent="0.25">
      <c r="B80" s="1" t="s">
        <v>211</v>
      </c>
      <c r="C80" s="1" t="s">
        <v>34</v>
      </c>
      <c r="E80" s="14">
        <f>'Beef parameter'!C9</f>
        <v>7</v>
      </c>
      <c r="F80" s="17" t="str">
        <f t="shared" ca="1" si="20"/>
        <v>='Beef parameter'!C9</v>
      </c>
      <c r="G80" s="17"/>
      <c r="I80" s="118">
        <f>K80+M80</f>
        <v>7</v>
      </c>
      <c r="J80" s="17" t="str">
        <f ca="1">_xlfn.FORMULATEXT(I80)</f>
        <v>=K80+M80</v>
      </c>
      <c r="K80" s="44">
        <f>K56*K149</f>
        <v>1.5910016317048237</v>
      </c>
      <c r="L80" s="17" t="str">
        <f t="shared" ca="1" si="25"/>
        <v>=K56*K149</v>
      </c>
      <c r="M80" s="44">
        <f>M56*M149</f>
        <v>5.4089983682951761</v>
      </c>
      <c r="N80" s="17" t="str">
        <f t="shared" ca="1" si="26"/>
        <v>=M56*M149</v>
      </c>
    </row>
    <row r="81" spans="2:14" x14ac:dyDescent="0.25">
      <c r="B81" s="1" t="s">
        <v>212</v>
      </c>
      <c r="C81" s="1" t="s">
        <v>34</v>
      </c>
      <c r="E81" s="14">
        <f>'Beef parameter'!C13</f>
        <v>5</v>
      </c>
      <c r="F81" s="17" t="str">
        <f ca="1">_xlfn.FORMULATEXT(E81)</f>
        <v>='Beef parameter'!C13</v>
      </c>
      <c r="G81" s="17"/>
      <c r="I81" s="118">
        <f>K81+M81</f>
        <v>5</v>
      </c>
      <c r="J81" s="17" t="str">
        <f ca="1">_xlfn.FORMULATEXT(I81)</f>
        <v>=K81+M81</v>
      </c>
      <c r="K81" s="44">
        <f>K57*K150</f>
        <v>1.1499999999999999</v>
      </c>
      <c r="L81" s="17" t="str">
        <f t="shared" ca="1" si="25"/>
        <v>=K57*K150</v>
      </c>
      <c r="M81" s="44">
        <f>M57*M150</f>
        <v>3.8500000000000005</v>
      </c>
      <c r="N81" s="17" t="str">
        <f t="shared" ca="1" si="26"/>
        <v>=M57*M150</v>
      </c>
    </row>
    <row r="82" spans="2:14" x14ac:dyDescent="0.25">
      <c r="E82" s="7"/>
      <c r="F82" s="17"/>
      <c r="G82" s="17"/>
      <c r="I82" s="7"/>
      <c r="K82" s="7"/>
      <c r="L82" s="17"/>
      <c r="M82" s="7"/>
      <c r="N82" s="17"/>
    </row>
    <row r="83" spans="2:14" x14ac:dyDescent="0.25">
      <c r="B83" s="2" t="s">
        <v>182</v>
      </c>
      <c r="E83" s="17"/>
      <c r="F83" s="17"/>
      <c r="G83" s="17"/>
      <c r="I83" s="6"/>
      <c r="K83" s="6"/>
      <c r="L83" s="6"/>
      <c r="M83" s="6"/>
      <c r="N83" s="6"/>
    </row>
    <row r="84" spans="2:14" x14ac:dyDescent="0.25">
      <c r="B84" s="1" t="s">
        <v>214</v>
      </c>
      <c r="C84" s="1" t="s">
        <v>34</v>
      </c>
      <c r="E84" s="14">
        <f>'Beef parameter'!C29</f>
        <v>5</v>
      </c>
      <c r="F84" s="17" t="str">
        <f ca="1">_xlfn.FORMULATEXT(E84)</f>
        <v>='Beef parameter'!C29</v>
      </c>
      <c r="G84" s="17"/>
      <c r="I84" s="20">
        <f>K84+M84</f>
        <v>5</v>
      </c>
      <c r="J84" s="17" t="str">
        <f ca="1">_xlfn.FORMULATEXT(I84)</f>
        <v>=K84+M84</v>
      </c>
      <c r="K84" s="44">
        <f t="shared" ref="K84:K90" si="27">K37*K141*K152</f>
        <v>1.1499999999999999</v>
      </c>
      <c r="L84" s="17" t="str">
        <f ca="1">_xlfn.FORMULATEXT(K84)</f>
        <v>=K37*K141*K152</v>
      </c>
      <c r="M84" s="44">
        <f t="shared" ref="M84:M90" si="28">M37*M141*M152</f>
        <v>3.85</v>
      </c>
      <c r="N84" s="17" t="str">
        <f ca="1">_xlfn.FORMULATEXT(M84)</f>
        <v>=M37*M141*M152</v>
      </c>
    </row>
    <row r="85" spans="2:14" x14ac:dyDescent="0.25">
      <c r="B85" s="1" t="s">
        <v>207</v>
      </c>
      <c r="C85" s="1" t="s">
        <v>34</v>
      </c>
      <c r="E85" s="14">
        <f>'Beef parameter'!C23</f>
        <v>7</v>
      </c>
      <c r="F85" s="17" t="str">
        <f t="shared" ref="F85:F90" ca="1" si="29">_xlfn.FORMULATEXT(E85)</f>
        <v>='Beef parameter'!C23</v>
      </c>
      <c r="G85" s="17"/>
      <c r="I85" s="20">
        <f t="shared" ref="I85:I90" si="30">K85+M85</f>
        <v>6.9999999999999991</v>
      </c>
      <c r="J85" s="17" t="str">
        <f t="shared" ref="J85:J90" ca="1" si="31">_xlfn.FORMULATEXT(I85)</f>
        <v>=K85+M85</v>
      </c>
      <c r="K85" s="44">
        <f t="shared" si="27"/>
        <v>1.6099999999999997</v>
      </c>
      <c r="L85" s="17" t="str">
        <f t="shared" ref="L85:L90" ca="1" si="32">_xlfn.FORMULATEXT(K85)</f>
        <v>=K38*K142*K153</v>
      </c>
      <c r="M85" s="44">
        <f t="shared" si="28"/>
        <v>5.39</v>
      </c>
      <c r="N85" s="17" t="str">
        <f t="shared" ref="N85:N90" ca="1" si="33">_xlfn.FORMULATEXT(M85)</f>
        <v>=M38*M142*M153</v>
      </c>
    </row>
    <row r="86" spans="2:14" x14ac:dyDescent="0.25">
      <c r="B86" s="1" t="s">
        <v>458</v>
      </c>
      <c r="C86" s="1" t="s">
        <v>34</v>
      </c>
      <c r="E86" s="14">
        <f>'Beef parameter'!C25</f>
        <v>21</v>
      </c>
      <c r="F86" s="17" t="str">
        <f t="shared" ca="1" si="29"/>
        <v>='Beef parameter'!C25</v>
      </c>
      <c r="G86" s="17"/>
      <c r="I86" s="20">
        <f t="shared" si="30"/>
        <v>21</v>
      </c>
      <c r="J86" s="17" t="str">
        <f t="shared" ca="1" si="31"/>
        <v>=K86+M86</v>
      </c>
      <c r="K86" s="44">
        <f t="shared" si="27"/>
        <v>4.83</v>
      </c>
      <c r="L86" s="17" t="str">
        <f t="shared" ca="1" si="32"/>
        <v>=K39*K143*K154</v>
      </c>
      <c r="M86" s="44">
        <f t="shared" si="28"/>
        <v>16.170000000000002</v>
      </c>
      <c r="N86" s="17" t="str">
        <f t="shared" ca="1" si="33"/>
        <v>=M39*M143*M154</v>
      </c>
    </row>
    <row r="87" spans="2:14" x14ac:dyDescent="0.25">
      <c r="B87" s="1" t="s">
        <v>208</v>
      </c>
      <c r="C87" s="1" t="s">
        <v>34</v>
      </c>
      <c r="E87" s="14">
        <f>'Beef parameter'!C21</f>
        <v>1</v>
      </c>
      <c r="F87" s="17" t="str">
        <f t="shared" ca="1" si="29"/>
        <v>='Beef parameter'!C21</v>
      </c>
      <c r="G87" s="17"/>
      <c r="I87" s="20">
        <f t="shared" si="30"/>
        <v>1</v>
      </c>
      <c r="J87" s="17" t="str">
        <f t="shared" ca="1" si="31"/>
        <v>=K87+M87</v>
      </c>
      <c r="K87" s="44">
        <f t="shared" si="27"/>
        <v>0.22999999999999998</v>
      </c>
      <c r="L87" s="17" t="str">
        <f t="shared" ca="1" si="32"/>
        <v>=K40*K144*K155</v>
      </c>
      <c r="M87" s="44">
        <f t="shared" si="28"/>
        <v>0.77</v>
      </c>
      <c r="N87" s="17" t="str">
        <f t="shared" ca="1" si="33"/>
        <v>=M40*M144*M155</v>
      </c>
    </row>
    <row r="88" spans="2:14" x14ac:dyDescent="0.25">
      <c r="B88" s="1" t="s">
        <v>459</v>
      </c>
      <c r="C88" s="1" t="s">
        <v>34</v>
      </c>
      <c r="E88" s="14">
        <f>'Beef parameter'!C27</f>
        <v>180</v>
      </c>
      <c r="F88" s="17" t="str">
        <f t="shared" ca="1" si="29"/>
        <v>='Beef parameter'!C27</v>
      </c>
      <c r="G88" s="17"/>
      <c r="I88" s="20">
        <f t="shared" si="30"/>
        <v>180.00000000000003</v>
      </c>
      <c r="J88" s="17" t="str">
        <f t="shared" ca="1" si="31"/>
        <v>=K88+M88</v>
      </c>
      <c r="K88" s="44">
        <f t="shared" si="27"/>
        <v>41.4</v>
      </c>
      <c r="L88" s="17" t="str">
        <f t="shared" ca="1" si="32"/>
        <v>=K41*K145*K156</v>
      </c>
      <c r="M88" s="44">
        <f t="shared" si="28"/>
        <v>138.60000000000002</v>
      </c>
      <c r="N88" s="17" t="str">
        <f t="shared" ca="1" si="33"/>
        <v>=M41*M145*M156</v>
      </c>
    </row>
    <row r="89" spans="2:14" x14ac:dyDescent="0.25">
      <c r="B89" s="1" t="s">
        <v>460</v>
      </c>
      <c r="C89" s="1" t="s">
        <v>34</v>
      </c>
      <c r="E89" s="14">
        <v>0</v>
      </c>
      <c r="F89" s="17" t="e">
        <f t="shared" ca="1" si="29"/>
        <v>#N/A</v>
      </c>
      <c r="G89" s="17"/>
      <c r="I89" s="20">
        <f t="shared" si="30"/>
        <v>0</v>
      </c>
      <c r="J89" s="17" t="str">
        <f t="shared" ca="1" si="31"/>
        <v>=K89+M89</v>
      </c>
      <c r="K89" s="44">
        <f t="shared" si="27"/>
        <v>0</v>
      </c>
      <c r="L89" s="17" t="str">
        <f t="shared" ca="1" si="32"/>
        <v>=K42*K146*K157</v>
      </c>
      <c r="M89" s="44">
        <f t="shared" si="28"/>
        <v>0</v>
      </c>
      <c r="N89" s="17" t="str">
        <f t="shared" ca="1" si="33"/>
        <v>=M42*M146*M157</v>
      </c>
    </row>
    <row r="90" spans="2:14" x14ac:dyDescent="0.25">
      <c r="B90" s="1" t="s">
        <v>465</v>
      </c>
      <c r="C90" s="1" t="s">
        <v>34</v>
      </c>
      <c r="E90" s="14">
        <f>'Beef parameter'!C31</f>
        <v>135</v>
      </c>
      <c r="F90" s="17" t="str">
        <f t="shared" ca="1" si="29"/>
        <v>='Beef parameter'!C31</v>
      </c>
      <c r="G90" s="17"/>
      <c r="I90" s="20">
        <f t="shared" si="30"/>
        <v>135</v>
      </c>
      <c r="J90" s="17" t="str">
        <f t="shared" ca="1" si="31"/>
        <v>=K90+M90</v>
      </c>
      <c r="K90" s="44">
        <f t="shared" si="27"/>
        <v>31.049999999999997</v>
      </c>
      <c r="L90" s="17" t="str">
        <f t="shared" ca="1" si="32"/>
        <v>=K43*K147*K158</v>
      </c>
      <c r="M90" s="44">
        <f t="shared" si="28"/>
        <v>103.94999999999999</v>
      </c>
      <c r="N90" s="17" t="str">
        <f t="shared" ca="1" si="33"/>
        <v>=M43*M147*M158</v>
      </c>
    </row>
    <row r="91" spans="2:14" x14ac:dyDescent="0.25">
      <c r="E91" s="33"/>
      <c r="F91" s="17"/>
      <c r="G91" s="17"/>
      <c r="I91" s="17"/>
      <c r="J91" s="17"/>
      <c r="K91" s="17"/>
      <c r="L91" s="17"/>
      <c r="M91" s="17"/>
      <c r="N91" s="17"/>
    </row>
    <row r="92" spans="2:14" x14ac:dyDescent="0.25">
      <c r="B92" s="2" t="s">
        <v>106</v>
      </c>
      <c r="E92" s="7"/>
      <c r="F92" s="17"/>
      <c r="G92" s="17"/>
      <c r="I92" s="7"/>
    </row>
    <row r="93" spans="2:14" x14ac:dyDescent="0.25">
      <c r="B93" s="1" t="s">
        <v>214</v>
      </c>
      <c r="E93" s="14">
        <f t="shared" ref="E93:E99" si="34">E37-((E84+E72+E60)/2)</f>
        <v>8.4670000000000005</v>
      </c>
      <c r="F93" s="17" t="str">
        <f ca="1">_xlfn.FORMULATEXT(E93)</f>
        <v>=E37-((E84+E72+E60)/2)</v>
      </c>
      <c r="G93" s="17"/>
      <c r="I93" s="14">
        <f t="shared" ref="I93:I99" si="35">I37-((I84+I72+I60)/2)</f>
        <v>8.4670000000000005</v>
      </c>
      <c r="J93" s="17" t="str">
        <f ca="1">_xlfn.FORMULATEXT(I93)</f>
        <v>=I37-((I84+I72+I60)/2)</v>
      </c>
      <c r="K93" s="44">
        <f t="shared" ref="K93:K99" si="36">K37-((K84+K72+K60)/2)</f>
        <v>1.9474099999999999</v>
      </c>
      <c r="L93" s="17" t="str">
        <f ca="1">_xlfn.FORMULATEXT(K93)</f>
        <v>=K37-((K84+K72+K60)/2)</v>
      </c>
      <c r="M93" s="44">
        <f t="shared" ref="M93:M99" si="37">M37-((M84+M72+M60)/2)</f>
        <v>6.5195900000000009</v>
      </c>
      <c r="N93" s="17" t="str">
        <f ca="1">_xlfn.FORMULATEXT(M93)</f>
        <v>=M37-((M84+M72+M60)/2)</v>
      </c>
    </row>
    <row r="94" spans="2:14" x14ac:dyDescent="0.25">
      <c r="B94" s="1" t="s">
        <v>207</v>
      </c>
      <c r="E94" s="14">
        <f t="shared" si="34"/>
        <v>35.829157225040376</v>
      </c>
      <c r="F94" s="17" t="str">
        <f t="shared" ref="F94:F102" ca="1" si="38">_xlfn.FORMULATEXT(E94)</f>
        <v>=E38-((E85+E73+E61)/2)</v>
      </c>
      <c r="G94" s="17"/>
      <c r="I94" s="14">
        <f t="shared" si="35"/>
        <v>35.829157225040376</v>
      </c>
      <c r="J94" s="17" t="str">
        <f t="shared" ref="J94:N103" ca="1" si="39">_xlfn.FORMULATEXT(I94)</f>
        <v>=I38-((I85+I73+I61)/2)</v>
      </c>
      <c r="K94" s="44">
        <f t="shared" si="36"/>
        <v>8.2407061617592863</v>
      </c>
      <c r="L94" s="17" t="str">
        <f t="shared" ca="1" si="39"/>
        <v>=K38-((K85+K73+K61)/2)</v>
      </c>
      <c r="M94" s="44">
        <f t="shared" si="37"/>
        <v>27.588451063281092</v>
      </c>
      <c r="N94" s="17" t="str">
        <f t="shared" ca="1" si="39"/>
        <v>=M38-((M85+M73+M61)/2)</v>
      </c>
    </row>
    <row r="95" spans="2:14" x14ac:dyDescent="0.25">
      <c r="B95" s="1" t="s">
        <v>458</v>
      </c>
      <c r="E95" s="14">
        <f t="shared" si="34"/>
        <v>10.56338028169014</v>
      </c>
      <c r="F95" s="17" t="str">
        <f t="shared" ca="1" si="38"/>
        <v>=E39-((E86+E74+E62)/2)</v>
      </c>
      <c r="G95" s="17"/>
      <c r="I95" s="14">
        <f t="shared" si="35"/>
        <v>10.56338028169014</v>
      </c>
      <c r="J95" s="17" t="str">
        <f t="shared" ca="1" si="39"/>
        <v>=I39-((I86+I74+I62)/2)</v>
      </c>
      <c r="K95" s="44">
        <f t="shared" si="36"/>
        <v>2.4295774647887316</v>
      </c>
      <c r="L95" s="17" t="str">
        <f t="shared" ca="1" si="39"/>
        <v>=K39-((K86+K74+K62)/2)</v>
      </c>
      <c r="M95" s="44">
        <f t="shared" si="37"/>
        <v>8.1338028169014063</v>
      </c>
      <c r="N95" s="17" t="str">
        <f t="shared" ca="1" si="39"/>
        <v>=M39-((M86+M74+M62)/2)</v>
      </c>
    </row>
    <row r="96" spans="2:14" x14ac:dyDescent="0.25">
      <c r="B96" s="1" t="s">
        <v>208</v>
      </c>
      <c r="E96" s="14">
        <f t="shared" si="34"/>
        <v>186.66323899129182</v>
      </c>
      <c r="F96" s="17" t="str">
        <f t="shared" ca="1" si="38"/>
        <v>=E40-((E87+E75+E63)/2)</v>
      </c>
      <c r="G96" s="17"/>
      <c r="I96" s="14">
        <f t="shared" si="35"/>
        <v>186.66323899129182</v>
      </c>
      <c r="J96" s="17" t="str">
        <f t="shared" ca="1" si="39"/>
        <v>=I40-((I87+I75+I63)/2)</v>
      </c>
      <c r="K96" s="44">
        <f t="shared" si="36"/>
        <v>42.93254496799711</v>
      </c>
      <c r="L96" s="17" t="str">
        <f t="shared" ca="1" si="39"/>
        <v>=K40-((K87+K75+K63)/2)</v>
      </c>
      <c r="M96" s="44">
        <f t="shared" si="37"/>
        <v>143.73069402329469</v>
      </c>
      <c r="N96" s="17" t="str">
        <f t="shared" ca="1" si="39"/>
        <v>=M40-((M87+M75+M63)/2)</v>
      </c>
    </row>
    <row r="97" spans="2:14" x14ac:dyDescent="0.25">
      <c r="B97" s="1" t="s">
        <v>459</v>
      </c>
      <c r="E97" s="14">
        <f t="shared" si="34"/>
        <v>90.543259557344058</v>
      </c>
      <c r="F97" s="17" t="str">
        <f t="shared" ca="1" si="38"/>
        <v>=E41-((E88+E76+E64)/2)</v>
      </c>
      <c r="G97" s="17"/>
      <c r="I97" s="14">
        <f t="shared" si="35"/>
        <v>90.543259557344044</v>
      </c>
      <c r="J97" s="17" t="str">
        <f t="shared" ca="1" si="39"/>
        <v>=I41-((I88+I76+I64)/2)</v>
      </c>
      <c r="K97" s="44">
        <f t="shared" si="36"/>
        <v>20.824949698189133</v>
      </c>
      <c r="L97" s="17" t="str">
        <f t="shared" ca="1" si="39"/>
        <v>=K41-((K88+K76+K64)/2)</v>
      </c>
      <c r="M97" s="44">
        <f t="shared" si="37"/>
        <v>69.718309859154914</v>
      </c>
      <c r="N97" s="17" t="str">
        <f t="shared" ca="1" si="39"/>
        <v>=M41-((M88+M76+M64)/2)</v>
      </c>
    </row>
    <row r="98" spans="2:14" x14ac:dyDescent="0.25">
      <c r="B98" s="1" t="s">
        <v>460</v>
      </c>
      <c r="E98" s="14">
        <f t="shared" si="34"/>
        <v>160.36966264387129</v>
      </c>
      <c r="F98" s="17" t="str">
        <f t="shared" ca="1" si="38"/>
        <v>=E42-((E89+E77+E65)/2)</v>
      </c>
      <c r="G98" s="17"/>
      <c r="I98" s="14">
        <f t="shared" si="35"/>
        <v>160.36966264387129</v>
      </c>
      <c r="J98" s="17" t="str">
        <f t="shared" ca="1" si="39"/>
        <v>=I42-((I89+I77+I65)/2)</v>
      </c>
      <c r="K98" s="44">
        <f t="shared" si="36"/>
        <v>36.885022408090393</v>
      </c>
      <c r="L98" s="17" t="str">
        <f t="shared" ca="1" si="39"/>
        <v>=K42-((K89+K77+K65)/2)</v>
      </c>
      <c r="M98" s="44">
        <f t="shared" si="37"/>
        <v>123.4846402357809</v>
      </c>
      <c r="N98" s="17" t="str">
        <f t="shared" ca="1" si="39"/>
        <v>=M42-((M89+M77+M65)/2)</v>
      </c>
    </row>
    <row r="99" spans="2:14" x14ac:dyDescent="0.25">
      <c r="B99" s="1" t="s">
        <v>465</v>
      </c>
      <c r="E99" s="14">
        <f t="shared" si="34"/>
        <v>67.907444668008054</v>
      </c>
      <c r="F99" s="17" t="str">
        <f t="shared" ca="1" si="38"/>
        <v>=E43-((E90+E78+E66)/2)</v>
      </c>
      <c r="G99" s="17"/>
      <c r="I99" s="14">
        <f t="shared" si="35"/>
        <v>67.907444668008054</v>
      </c>
      <c r="J99" s="17" t="str">
        <f t="shared" ca="1" si="39"/>
        <v>=I43-((I90+I78+I66)/2)</v>
      </c>
      <c r="K99" s="44">
        <f t="shared" si="36"/>
        <v>15.618712273641853</v>
      </c>
      <c r="L99" s="17" t="str">
        <f t="shared" ca="1" si="39"/>
        <v>=K43-((K90+K78+K66)/2)</v>
      </c>
      <c r="M99" s="44">
        <f t="shared" si="37"/>
        <v>52.288732394366207</v>
      </c>
      <c r="N99" s="17" t="str">
        <f t="shared" ca="1" si="39"/>
        <v>=M43-((M90+M78+M66)/2)</v>
      </c>
    </row>
    <row r="100" spans="2:14" x14ac:dyDescent="0.25">
      <c r="B100" s="1" t="s">
        <v>210</v>
      </c>
      <c r="E100" s="14">
        <f>E55-((E79+E67)/2)</f>
        <v>46.319606141464646</v>
      </c>
      <c r="F100" s="17" t="str">
        <f t="shared" ca="1" si="38"/>
        <v>=E55-((E79+E67)/2)</v>
      </c>
      <c r="G100" s="17"/>
      <c r="I100" s="14">
        <f>I55-((I79+I67)/2)</f>
        <v>45.857758328150943</v>
      </c>
      <c r="J100" s="17" t="str">
        <f t="shared" ca="1" si="39"/>
        <v>=I55-((I79+I67)/2)</v>
      </c>
      <c r="K100" s="44">
        <f>K55-((K79+K67)/2)</f>
        <v>10.113613357554149</v>
      </c>
      <c r="L100" s="17" t="str">
        <f t="shared" ca="1" si="39"/>
        <v>=K55-((K79+K67)/2)</v>
      </c>
      <c r="M100" s="44">
        <f>M55-((M79+M67)/2)</f>
        <v>35.7441449705968</v>
      </c>
      <c r="N100" s="17" t="str">
        <f t="shared" ca="1" si="39"/>
        <v>=M55-((M79+M67)/2)</v>
      </c>
    </row>
    <row r="101" spans="2:14" x14ac:dyDescent="0.25">
      <c r="B101" s="1" t="s">
        <v>211</v>
      </c>
      <c r="E101" s="14">
        <f>E56-((E80+E68)/2)</f>
        <v>197.57347783756421</v>
      </c>
      <c r="F101" s="17" t="str">
        <f t="shared" ca="1" si="38"/>
        <v>=E56-((E80+E68)/2)</v>
      </c>
      <c r="G101" s="17"/>
      <c r="I101" s="14">
        <f>I56-((I80+I68)/2)</f>
        <v>195.6126966420446</v>
      </c>
      <c r="J101" s="17" t="str">
        <f t="shared" ca="1" si="39"/>
        <v>=I56-((I80+I68)/2)</v>
      </c>
      <c r="K101" s="44">
        <f>K56-((K80+K68)/2)</f>
        <v>44.905675088737354</v>
      </c>
      <c r="L101" s="17" t="str">
        <f t="shared" ca="1" si="39"/>
        <v>=K56-((K80+K68)/2)</v>
      </c>
      <c r="M101" s="44">
        <f>M56-((M80+M68)/2)</f>
        <v>150.70702155330724</v>
      </c>
      <c r="N101" s="17" t="str">
        <f t="shared" ca="1" si="39"/>
        <v>=M56-((M80+M68)/2)</v>
      </c>
    </row>
    <row r="102" spans="2:14" x14ac:dyDescent="0.25">
      <c r="B102" s="1" t="s">
        <v>212</v>
      </c>
      <c r="E102" s="14">
        <f>E57-((E81+E69)/2)</f>
        <v>189.26366341507142</v>
      </c>
      <c r="F102" s="17" t="str">
        <f t="shared" ca="1" si="38"/>
        <v>=E57-((E81+E69)/2)</v>
      </c>
      <c r="G102" s="17"/>
      <c r="I102" s="14">
        <f>I57-((I81+I69)/2)</f>
        <v>187.40023559036666</v>
      </c>
      <c r="J102" s="17" t="str">
        <f t="shared" ca="1" si="39"/>
        <v>=I57-((I81+I69)/2)</v>
      </c>
      <c r="K102" s="44">
        <f>K57-((K81+K69)/2)</f>
        <v>43.530642585466424</v>
      </c>
      <c r="L102" s="17" t="str">
        <f t="shared" ca="1" si="39"/>
        <v>=K57-((K81+K69)/2)</v>
      </c>
      <c r="M102" s="44">
        <f>M57-((M81+M69)/2)</f>
        <v>143.86959300490025</v>
      </c>
      <c r="N102" s="17" t="str">
        <f t="shared" ca="1" si="39"/>
        <v>=M57-((M81+M69)/2)</v>
      </c>
    </row>
    <row r="103" spans="2:14" x14ac:dyDescent="0.25">
      <c r="B103" s="1" t="s">
        <v>190</v>
      </c>
      <c r="E103" s="14">
        <f>SUMPRODUCT(E93:E102,E120:E129)</f>
        <v>4855.6122689311524</v>
      </c>
      <c r="F103" s="17" t="str">
        <f ca="1">_xlfn.FORMULATEXT(E103)</f>
        <v>=SUMPRODUCT(E93:E102,E120:E129)</v>
      </c>
      <c r="G103" s="17"/>
      <c r="I103" s="14">
        <f>SUMPRODUCT(I93:I102,I120:I129)</f>
        <v>4836.7868609935449</v>
      </c>
      <c r="J103" s="17" t="str">
        <f t="shared" ca="1" si="39"/>
        <v>=SUMPRODUCT(I93:I102,I120:I129)</v>
      </c>
      <c r="K103" s="44">
        <f>SUMPRODUCT(K93:K102,I120:I129)</f>
        <v>1112.4881739991645</v>
      </c>
      <c r="L103" s="17" t="str">
        <f t="shared" ca="1" si="39"/>
        <v>=SUMPRODUCT(K93:K102,I120:I129)</v>
      </c>
      <c r="M103" s="44">
        <f>SUMPRODUCT(M93:M102,I120:I129)</f>
        <v>3724.2986869943798</v>
      </c>
      <c r="N103" s="17" t="str">
        <f t="shared" ca="1" si="39"/>
        <v>=SUMPRODUCT(M93:M102,I120:I129)</v>
      </c>
    </row>
    <row r="105" spans="2:14" x14ac:dyDescent="0.25">
      <c r="B105" s="2" t="s">
        <v>276</v>
      </c>
    </row>
    <row r="106" spans="2:14" x14ac:dyDescent="0.25">
      <c r="B106" s="1" t="s">
        <v>214</v>
      </c>
      <c r="E106" s="14">
        <f t="shared" ref="E106:E112" si="40">E37-(E84+E72+E60)</f>
        <v>5.9340000000000002</v>
      </c>
      <c r="F106" s="17" t="str">
        <f ca="1">_xlfn.FORMULATEXT(E106)</f>
        <v>=E37-(E84+E72+E60)</v>
      </c>
      <c r="G106" s="17"/>
      <c r="I106" s="14">
        <f t="shared" ref="I106:I111" si="41">I37-(I84+I72+I60)</f>
        <v>5.9340000000000002</v>
      </c>
      <c r="J106" s="17" t="str">
        <f t="shared" ref="J106:J115" ca="1" si="42">_xlfn.FORMULATEXT(I106)</f>
        <v>=I37-(I84+I72+I60)</v>
      </c>
    </row>
    <row r="107" spans="2:14" x14ac:dyDescent="0.25">
      <c r="B107" s="1" t="s">
        <v>207</v>
      </c>
      <c r="E107" s="14">
        <f t="shared" si="40"/>
        <v>26.192760563380272</v>
      </c>
      <c r="F107" s="17" t="str">
        <f t="shared" ref="F107:F115" ca="1" si="43">_xlfn.FORMULATEXT(E107)</f>
        <v>=E38-(E85+E73+E61)</v>
      </c>
      <c r="G107" s="17"/>
      <c r="I107" s="14">
        <f t="shared" si="41"/>
        <v>26.192760563380272</v>
      </c>
      <c r="J107" s="17" t="str">
        <f t="shared" ca="1" si="42"/>
        <v>=I38-(I85+I73+I61)</v>
      </c>
    </row>
    <row r="108" spans="2:14" x14ac:dyDescent="0.25">
      <c r="B108" s="1" t="s">
        <v>458</v>
      </c>
      <c r="E108" s="14">
        <f t="shared" si="40"/>
        <v>0</v>
      </c>
      <c r="F108" s="17" t="str">
        <f t="shared" ca="1" si="43"/>
        <v>=E39-(E86+E74+E62)</v>
      </c>
      <c r="G108" s="17"/>
      <c r="I108" s="14">
        <f t="shared" si="41"/>
        <v>0</v>
      </c>
      <c r="J108" s="17" t="str">
        <f t="shared" ca="1" si="42"/>
        <v>=I39-(I86+I74+I62)</v>
      </c>
    </row>
    <row r="109" spans="2:14" x14ac:dyDescent="0.25">
      <c r="B109" s="1" t="s">
        <v>208</v>
      </c>
      <c r="E109" s="14">
        <f t="shared" si="40"/>
        <v>181.08651911468812</v>
      </c>
      <c r="F109" s="17" t="str">
        <f t="shared" ca="1" si="43"/>
        <v>=E40-(E87+E75+E63)</v>
      </c>
      <c r="G109" s="17"/>
      <c r="I109" s="14">
        <f t="shared" si="41"/>
        <v>181.08651911468812</v>
      </c>
      <c r="J109" s="17" t="str">
        <f t="shared" ca="1" si="42"/>
        <v>=I40-(I87+I75+I63)</v>
      </c>
    </row>
    <row r="110" spans="2:14" x14ac:dyDescent="0.25">
      <c r="B110" s="1" t="s">
        <v>459</v>
      </c>
      <c r="E110" s="14">
        <f t="shared" si="40"/>
        <v>0</v>
      </c>
      <c r="F110" s="17" t="str">
        <f t="shared" ca="1" si="43"/>
        <v>=E41-(E88+E76+E64)</v>
      </c>
      <c r="G110" s="17"/>
      <c r="I110" s="14">
        <f t="shared" si="41"/>
        <v>0</v>
      </c>
      <c r="J110" s="17" t="str">
        <f t="shared" ca="1" si="42"/>
        <v>=I41-(I88+I76+I64)</v>
      </c>
    </row>
    <row r="111" spans="2:14" x14ac:dyDescent="0.25">
      <c r="B111" s="1" t="s">
        <v>460</v>
      </c>
      <c r="E111" s="14">
        <f t="shared" si="40"/>
        <v>135.81488933601611</v>
      </c>
      <c r="F111" s="17" t="str">
        <f t="shared" ca="1" si="43"/>
        <v>=E42-(E89+E77+E65)</v>
      </c>
      <c r="G111" s="17"/>
      <c r="I111" s="14">
        <f t="shared" si="41"/>
        <v>135.81488933601611</v>
      </c>
      <c r="J111" s="17" t="str">
        <f t="shared" ca="1" si="42"/>
        <v>=I42-(I89+I77+I65)</v>
      </c>
    </row>
    <row r="112" spans="2:14" x14ac:dyDescent="0.25">
      <c r="B112" s="1" t="s">
        <v>465</v>
      </c>
      <c r="E112" s="14">
        <f t="shared" si="40"/>
        <v>0</v>
      </c>
      <c r="F112" s="17" t="str">
        <f t="shared" ca="1" si="43"/>
        <v>=E43-(E90+E78+E66)</v>
      </c>
      <c r="G112" s="17"/>
      <c r="I112" s="14">
        <f>I43-(I90+I78+I66)</f>
        <v>0</v>
      </c>
      <c r="J112" s="17" t="str">
        <f t="shared" ca="1" si="42"/>
        <v>=I43-(I90+I78+I66)</v>
      </c>
    </row>
    <row r="113" spans="2:14" x14ac:dyDescent="0.25">
      <c r="B113" s="1" t="s">
        <v>210</v>
      </c>
      <c r="E113" s="14">
        <f>E55-(E79+E67)</f>
        <v>45.370553886700478</v>
      </c>
      <c r="F113" s="17" t="str">
        <f t="shared" ca="1" si="43"/>
        <v>=E55-(E79+E67)</v>
      </c>
      <c r="G113" s="17"/>
      <c r="I113" s="14">
        <f>I55-(I79+I67)</f>
        <v>44.446858260073071</v>
      </c>
      <c r="J113" s="17" t="str">
        <f t="shared" ca="1" si="42"/>
        <v>=I55-(I79+I67)</v>
      </c>
    </row>
    <row r="114" spans="2:14" x14ac:dyDescent="0.25">
      <c r="B114" s="1" t="s">
        <v>211</v>
      </c>
      <c r="E114" s="14">
        <f>E56-(E80+E68)</f>
        <v>192.1449588678955</v>
      </c>
      <c r="F114" s="17" t="str">
        <f t="shared" ca="1" si="43"/>
        <v>=E56-(E80+E68)</v>
      </c>
      <c r="G114" s="17"/>
      <c r="I114" s="14">
        <f>I56-(I80+I68)</f>
        <v>188.22339647685627</v>
      </c>
      <c r="J114" s="17" t="str">
        <f t="shared" ca="1" si="42"/>
        <v>=I56-(I80+I68)</v>
      </c>
    </row>
    <row r="115" spans="2:14" x14ac:dyDescent="0.25">
      <c r="B115" s="1" t="s">
        <v>212</v>
      </c>
      <c r="E115" s="14">
        <f>E57-(E81+E69)</f>
        <v>184.92443595172648</v>
      </c>
      <c r="F115" s="17" t="str">
        <f t="shared" ca="1" si="43"/>
        <v>=E57-(E81+E69)</v>
      </c>
      <c r="G115" s="17"/>
      <c r="I115" s="14">
        <f>I57-(I81+I69)</f>
        <v>181.19758030231696</v>
      </c>
      <c r="J115" s="17" t="str">
        <f t="shared" ca="1" si="42"/>
        <v>=I57-(I81+I69)</v>
      </c>
    </row>
    <row r="117" spans="2:14" x14ac:dyDescent="0.25">
      <c r="B117" s="55" t="s">
        <v>17</v>
      </c>
      <c r="C117" s="56"/>
      <c r="D117" s="56"/>
      <c r="E117" s="56"/>
      <c r="F117" s="57"/>
      <c r="G117" s="57"/>
      <c r="H117" s="56"/>
      <c r="I117" s="56"/>
      <c r="J117" s="56"/>
      <c r="K117" s="56"/>
      <c r="L117" s="56"/>
      <c r="M117" s="56"/>
      <c r="N117" s="56"/>
    </row>
    <row r="118" spans="2:14" x14ac:dyDescent="0.25">
      <c r="B118" s="2"/>
      <c r="F118" s="16"/>
      <c r="G118" s="16"/>
    </row>
    <row r="119" spans="2:14" x14ac:dyDescent="0.25">
      <c r="B119" s="2" t="s">
        <v>191</v>
      </c>
      <c r="F119" s="16"/>
      <c r="G119" s="16"/>
    </row>
    <row r="120" spans="2:14" x14ac:dyDescent="0.25">
      <c r="B120" s="1" t="s">
        <v>214</v>
      </c>
      <c r="C120" s="1" t="s">
        <v>192</v>
      </c>
      <c r="E120" s="22">
        <v>5.5</v>
      </c>
      <c r="F120" s="17" t="e">
        <f t="shared" ref="F120:F129" ca="1" si="44">_xlfn.FORMULATEXT(E120)</f>
        <v>#N/A</v>
      </c>
      <c r="G120" s="17"/>
      <c r="I120" s="22">
        <v>5.5</v>
      </c>
    </row>
    <row r="121" spans="2:14" x14ac:dyDescent="0.25">
      <c r="B121" s="1" t="s">
        <v>207</v>
      </c>
      <c r="C121" s="1" t="s">
        <v>192</v>
      </c>
      <c r="E121" s="22">
        <v>4.5</v>
      </c>
      <c r="F121" s="17" t="e">
        <f t="shared" ca="1" si="44"/>
        <v>#N/A</v>
      </c>
      <c r="G121" s="17"/>
      <c r="I121" s="22">
        <v>4.5</v>
      </c>
    </row>
    <row r="122" spans="2:14" x14ac:dyDescent="0.25">
      <c r="B122" s="1" t="s">
        <v>458</v>
      </c>
      <c r="C122" s="1" t="s">
        <v>192</v>
      </c>
      <c r="E122" s="22">
        <v>5.5</v>
      </c>
      <c r="F122" s="17" t="e">
        <f t="shared" ca="1" si="44"/>
        <v>#N/A</v>
      </c>
      <c r="G122" s="17"/>
      <c r="I122" s="22">
        <v>5.5</v>
      </c>
    </row>
    <row r="123" spans="2:14" x14ac:dyDescent="0.25">
      <c r="B123" s="1" t="s">
        <v>208</v>
      </c>
      <c r="C123" s="1" t="s">
        <v>192</v>
      </c>
      <c r="E123" s="22">
        <v>5</v>
      </c>
      <c r="F123" s="17" t="e">
        <f t="shared" ca="1" si="44"/>
        <v>#N/A</v>
      </c>
      <c r="G123" s="17"/>
      <c r="I123" s="22">
        <v>5</v>
      </c>
    </row>
    <row r="124" spans="2:14" x14ac:dyDescent="0.25">
      <c r="B124" s="1" t="s">
        <v>459</v>
      </c>
      <c r="C124" s="1" t="s">
        <v>192</v>
      </c>
      <c r="E124" s="22">
        <v>5.5</v>
      </c>
      <c r="F124" s="17" t="e">
        <f t="shared" ca="1" si="44"/>
        <v>#N/A</v>
      </c>
      <c r="G124" s="17"/>
      <c r="I124" s="22">
        <v>5.5</v>
      </c>
    </row>
    <row r="125" spans="2:14" x14ac:dyDescent="0.25">
      <c r="B125" s="1" t="s">
        <v>460</v>
      </c>
      <c r="C125" s="1" t="s">
        <v>192</v>
      </c>
      <c r="E125" s="22">
        <v>5.5</v>
      </c>
      <c r="F125" s="17" t="e">
        <f t="shared" ca="1" si="44"/>
        <v>#N/A</v>
      </c>
      <c r="G125" s="17"/>
      <c r="I125" s="22">
        <v>5.5</v>
      </c>
    </row>
    <row r="126" spans="2:14" x14ac:dyDescent="0.25">
      <c r="B126" s="1" t="s">
        <v>465</v>
      </c>
      <c r="C126" s="1" t="s">
        <v>192</v>
      </c>
      <c r="E126" s="22">
        <v>5.5</v>
      </c>
      <c r="F126" s="17" t="e">
        <f t="shared" ca="1" si="44"/>
        <v>#N/A</v>
      </c>
      <c r="G126" s="17"/>
      <c r="I126" s="22">
        <v>5.5</v>
      </c>
    </row>
    <row r="127" spans="2:14" x14ac:dyDescent="0.25">
      <c r="B127" s="1" t="s">
        <v>210</v>
      </c>
      <c r="C127" s="1" t="s">
        <v>192</v>
      </c>
      <c r="E127" s="22">
        <v>3.5</v>
      </c>
      <c r="F127" s="17" t="e">
        <f t="shared" ca="1" si="44"/>
        <v>#N/A</v>
      </c>
      <c r="G127" s="17"/>
      <c r="I127" s="22">
        <v>3.5</v>
      </c>
    </row>
    <row r="128" spans="2:14" x14ac:dyDescent="0.25">
      <c r="B128" s="1" t="s">
        <v>211</v>
      </c>
      <c r="C128" s="1" t="s">
        <v>192</v>
      </c>
      <c r="E128" s="22">
        <v>4.5</v>
      </c>
      <c r="F128" s="17" t="e">
        <f t="shared" ca="1" si="44"/>
        <v>#N/A</v>
      </c>
      <c r="G128" s="17"/>
      <c r="I128" s="22">
        <v>4.5</v>
      </c>
    </row>
    <row r="129" spans="2:14" x14ac:dyDescent="0.25">
      <c r="B129" s="1" t="s">
        <v>212</v>
      </c>
      <c r="C129" s="1" t="s">
        <v>192</v>
      </c>
      <c r="E129" s="22">
        <v>4.5</v>
      </c>
      <c r="F129" s="17" t="e">
        <f t="shared" ca="1" si="44"/>
        <v>#N/A</v>
      </c>
      <c r="G129" s="17"/>
      <c r="I129" s="22">
        <v>4.5</v>
      </c>
    </row>
    <row r="130" spans="2:14" x14ac:dyDescent="0.25">
      <c r="F130" s="17"/>
      <c r="G130" s="17"/>
    </row>
    <row r="131" spans="2:14" x14ac:dyDescent="0.25">
      <c r="B131" s="2" t="s">
        <v>88</v>
      </c>
      <c r="F131" s="16"/>
      <c r="G131" s="16"/>
      <c r="L131" s="17"/>
      <c r="N131" s="17"/>
    </row>
    <row r="132" spans="2:14" x14ac:dyDescent="0.25">
      <c r="B132" s="11" t="s">
        <v>202</v>
      </c>
      <c r="C132" s="1" t="s">
        <v>3</v>
      </c>
      <c r="E132" s="19">
        <f>'Beef parameter'!C7/100</f>
        <v>6.0000000000000001E-3</v>
      </c>
      <c r="F132" s="17" t="str">
        <f ca="1">_xlfn.FORMULATEXT(E132)</f>
        <v>='Beef parameter'!C7/100</v>
      </c>
      <c r="G132" s="17"/>
      <c r="I132" s="17"/>
      <c r="J132" s="17"/>
      <c r="K132" s="47">
        <f>E132</f>
        <v>6.0000000000000001E-3</v>
      </c>
      <c r="L132" s="17" t="str">
        <f ca="1">_xlfn.FORMULATEXT(K132)</f>
        <v>=E132</v>
      </c>
      <c r="M132" s="49">
        <f>MIN(E132+'Partial Budget'!$G$12/100,1)</f>
        <v>6.0000000000000001E-3</v>
      </c>
      <c r="N132" s="17" t="str">
        <f ca="1">_xlfn.FORMULATEXT(M132)</f>
        <v>=MIN(E132+'Partial Budget'!$G$12/100,1)</v>
      </c>
    </row>
    <row r="133" spans="2:14" x14ac:dyDescent="0.25">
      <c r="B133" s="11" t="s">
        <v>49</v>
      </c>
      <c r="C133" s="1" t="s">
        <v>3</v>
      </c>
      <c r="E133" s="19">
        <f>'Beef parameter'!C6/100</f>
        <v>1.9E-2</v>
      </c>
      <c r="F133" s="17" t="str">
        <f ca="1">_xlfn.FORMULATEXT(E133)</f>
        <v>='Beef parameter'!C6/100</v>
      </c>
      <c r="G133" s="17"/>
      <c r="I133" s="17"/>
      <c r="J133" s="17"/>
      <c r="K133" s="47">
        <f>E133</f>
        <v>1.9E-2</v>
      </c>
      <c r="L133" s="17" t="str">
        <f ca="1">_xlfn.FORMULATEXT(K133)</f>
        <v>=E133</v>
      </c>
      <c r="M133" s="49">
        <f>MIN(E133+'Partial Budget'!$G$13/100,1)</f>
        <v>4.3999999999999997E-2</v>
      </c>
      <c r="N133" s="17" t="str">
        <f ca="1">_xlfn.FORMULATEXT(M133)</f>
        <v>=MIN(E133+'Partial Budget'!$G$13/100,1)</v>
      </c>
    </row>
    <row r="134" spans="2:14" x14ac:dyDescent="0.25">
      <c r="F134" s="16"/>
      <c r="G134" s="16"/>
      <c r="L134" s="17"/>
      <c r="N134" s="17"/>
    </row>
    <row r="135" spans="2:14" x14ac:dyDescent="0.25">
      <c r="B135" s="2" t="s">
        <v>94</v>
      </c>
      <c r="F135" s="16"/>
      <c r="G135" s="16"/>
      <c r="L135" s="17"/>
      <c r="N135" s="17"/>
    </row>
    <row r="136" spans="2:14" x14ac:dyDescent="0.25">
      <c r="B136" s="11" t="s">
        <v>213</v>
      </c>
      <c r="C136" s="1" t="s">
        <v>3</v>
      </c>
      <c r="E136" s="19">
        <f>IF(E37&gt;0,E44/E37,0)</f>
        <v>0.90909090909090906</v>
      </c>
      <c r="F136" s="17" t="str">
        <f ca="1">_xlfn.FORMULATEXT(E136)</f>
        <v>=IF(E37&gt;0,E44/E37,0)</v>
      </c>
      <c r="G136" s="17"/>
      <c r="I136" s="17"/>
      <c r="J136" s="17"/>
      <c r="K136" s="47">
        <f>E136</f>
        <v>0.90909090909090906</v>
      </c>
      <c r="L136" s="17" t="str">
        <f ca="1">_xlfn.FORMULATEXT(K136)</f>
        <v>=E136</v>
      </c>
      <c r="M136" s="51">
        <f>E136*(1-M137)*(1-M138)</f>
        <v>0.5656363636363636</v>
      </c>
      <c r="N136" s="17" t="str">
        <f ca="1">_xlfn.FORMULATEXT(M136)</f>
        <v>=E136*(1-M137)*(1-M138)</v>
      </c>
    </row>
    <row r="137" spans="2:14" x14ac:dyDescent="0.25">
      <c r="B137" s="11" t="s">
        <v>30</v>
      </c>
      <c r="C137" s="1" t="s">
        <v>3</v>
      </c>
      <c r="E137" s="19"/>
      <c r="F137" s="17" t="e">
        <f ca="1">_xlfn.FORMULATEXT(E137)</f>
        <v>#N/A</v>
      </c>
      <c r="G137" s="17"/>
      <c r="I137" s="17"/>
      <c r="J137" s="17"/>
      <c r="K137" s="47">
        <f>E137</f>
        <v>0</v>
      </c>
      <c r="L137" s="17" t="str">
        <f ca="1">_xlfn.FORMULATEXT(K137)</f>
        <v>=E137</v>
      </c>
      <c r="M137" s="50">
        <f>E137+'Partial Budget'!G15/100</f>
        <v>8.5000000000000006E-2</v>
      </c>
      <c r="N137" s="17" t="str">
        <f ca="1">_xlfn.FORMULATEXT(M137)</f>
        <v>=E137+'Partial Budget'!G15/100</v>
      </c>
    </row>
    <row r="138" spans="2:14" x14ac:dyDescent="0.25">
      <c r="B138" s="11" t="s">
        <v>363</v>
      </c>
      <c r="C138" s="1" t="s">
        <v>3</v>
      </c>
      <c r="E138" s="19"/>
      <c r="F138" s="17" t="e">
        <f ca="1">_xlfn.FORMULATEXT(E138)</f>
        <v>#N/A</v>
      </c>
      <c r="G138" s="17"/>
      <c r="I138" s="17"/>
      <c r="J138" s="17"/>
      <c r="K138" s="47">
        <f>E138</f>
        <v>0</v>
      </c>
      <c r="L138" s="17" t="str">
        <f ca="1">_xlfn.FORMULATEXT(K138)</f>
        <v>=E138</v>
      </c>
      <c r="M138" s="50">
        <f>E138+'Partial Budget'!G16/100</f>
        <v>0.32</v>
      </c>
      <c r="N138" s="17" t="str">
        <f ca="1">_xlfn.FORMULATEXT(M138)</f>
        <v>=E138+'Partial Budget'!G16/100</v>
      </c>
    </row>
    <row r="139" spans="2:14" x14ac:dyDescent="0.25">
      <c r="F139" s="17"/>
      <c r="G139" s="17"/>
      <c r="I139" s="4"/>
      <c r="K139" s="4"/>
      <c r="L139" s="17"/>
      <c r="M139" s="4"/>
      <c r="N139" s="17"/>
    </row>
    <row r="140" spans="2:14" x14ac:dyDescent="0.25">
      <c r="B140" s="2" t="s">
        <v>175</v>
      </c>
      <c r="E140" s="9"/>
      <c r="F140" s="16"/>
      <c r="G140" s="16"/>
      <c r="I140" s="9"/>
      <c r="K140" s="9"/>
      <c r="L140" s="6"/>
      <c r="M140" s="9"/>
      <c r="N140" s="6"/>
    </row>
    <row r="141" spans="2:14" x14ac:dyDescent="0.25">
      <c r="B141" s="1" t="s">
        <v>216</v>
      </c>
      <c r="C141" s="1" t="s">
        <v>3</v>
      </c>
      <c r="E141" s="19">
        <f>IF(E37&gt;0,(E72+E84)/E37,0)</f>
        <v>0.45454545454545453</v>
      </c>
      <c r="F141" s="17" t="str">
        <f ca="1">_xlfn.FORMULATEXT(E141)</f>
        <v>=IF(E37&gt;0,(E72+E84)/E37,0)</v>
      </c>
      <c r="G141" s="17"/>
      <c r="K141" s="47">
        <f>E141</f>
        <v>0.45454545454545453</v>
      </c>
      <c r="L141" s="17" t="str">
        <f ca="1">_xlfn.FORMULATEXT(K141)</f>
        <v>=E141</v>
      </c>
      <c r="M141" s="49">
        <f>MIN(E141+'Partial Budget'!$G$21/100,1)</f>
        <v>0.45454545454545453</v>
      </c>
      <c r="N141" s="17" t="str">
        <f ca="1">_xlfn.FORMULATEXT(M141)</f>
        <v>=MIN(E141+'Partial Budget'!$G$21/100,1)</v>
      </c>
    </row>
    <row r="142" spans="2:14" x14ac:dyDescent="0.25">
      <c r="B142" s="1" t="s">
        <v>217</v>
      </c>
      <c r="C142" s="1" t="s">
        <v>3</v>
      </c>
      <c r="E142" s="19">
        <f t="shared" ref="E142:E147" si="45">(E73+E85)/E38</f>
        <v>0.41789879096926286</v>
      </c>
      <c r="F142" s="17" t="str">
        <f t="shared" ref="F142:F150" ca="1" si="46">_xlfn.FORMULATEXT(E142)</f>
        <v>=(E73+E85)/E38</v>
      </c>
      <c r="G142" s="17"/>
      <c r="K142" s="47">
        <f t="shared" ref="K142:K150" si="47">E142</f>
        <v>0.41789879096926286</v>
      </c>
      <c r="L142" s="17" t="str">
        <f t="shared" ref="L142:L150" ca="1" si="48">_xlfn.FORMULATEXT(K142)</f>
        <v>=E142</v>
      </c>
      <c r="M142" s="49">
        <f>MIN(E142+'Partial Budget'!$G$21/100,1)</f>
        <v>0.41789879096926286</v>
      </c>
      <c r="N142" s="17" t="str">
        <f ca="1">_xlfn.FORMULATEXT(M142)</f>
        <v>=MIN(E142+'Partial Budget'!$G$21/100,1)</v>
      </c>
    </row>
    <row r="143" spans="2:14" x14ac:dyDescent="0.25">
      <c r="B143" s="1" t="s">
        <v>466</v>
      </c>
      <c r="C143" s="1" t="s">
        <v>3</v>
      </c>
      <c r="E143" s="19">
        <f t="shared" si="45"/>
        <v>0.99400000000000011</v>
      </c>
      <c r="F143" s="17" t="str">
        <f t="shared" ca="1" si="46"/>
        <v>=(E74+E86)/E39</v>
      </c>
      <c r="G143" s="17"/>
      <c r="K143" s="47">
        <f t="shared" si="47"/>
        <v>0.99400000000000011</v>
      </c>
      <c r="L143" s="17" t="str">
        <f t="shared" ca="1" si="48"/>
        <v>=E143</v>
      </c>
      <c r="M143" s="49">
        <f>MIN(E143+'Partial Budget'!$G$21/100,1)</f>
        <v>0.99400000000000011</v>
      </c>
      <c r="N143" s="17" t="str">
        <f t="shared" ref="N143:N150" ca="1" si="49">_xlfn.FORMULATEXT(M143)</f>
        <v>=MIN(E143+'Partial Budget'!$G$21/100,1)</v>
      </c>
    </row>
    <row r="144" spans="2:14" x14ac:dyDescent="0.25">
      <c r="B144" s="1" t="s">
        <v>228</v>
      </c>
      <c r="C144" s="1" t="s">
        <v>3</v>
      </c>
      <c r="E144" s="19">
        <f t="shared" si="45"/>
        <v>5.2018321575234283E-2</v>
      </c>
      <c r="F144" s="17" t="str">
        <f t="shared" ca="1" si="46"/>
        <v>=(E75+E87)/E40</v>
      </c>
      <c r="G144" s="17"/>
      <c r="K144" s="47">
        <f t="shared" si="47"/>
        <v>5.2018321575234283E-2</v>
      </c>
      <c r="L144" s="17" t="str">
        <f t="shared" ca="1" si="48"/>
        <v>=E144</v>
      </c>
      <c r="M144" s="49">
        <f>MIN(E144+'Partial Budget'!$G$21/100,1)</f>
        <v>5.2018321575234283E-2</v>
      </c>
      <c r="N144" s="17" t="str">
        <f t="shared" ca="1" si="49"/>
        <v>=MIN(E144+'Partial Budget'!$G$21/100,1)</v>
      </c>
    </row>
    <row r="145" spans="2:14" x14ac:dyDescent="0.25">
      <c r="B145" s="1" t="s">
        <v>467</v>
      </c>
      <c r="C145" s="1" t="s">
        <v>3</v>
      </c>
      <c r="E145" s="19">
        <f t="shared" si="45"/>
        <v>0.99400000000000011</v>
      </c>
      <c r="F145" s="17" t="str">
        <f t="shared" ca="1" si="46"/>
        <v>=(E76+E88)/E41</v>
      </c>
      <c r="G145" s="17"/>
      <c r="K145" s="47">
        <f t="shared" si="47"/>
        <v>0.99400000000000011</v>
      </c>
      <c r="L145" s="17" t="str">
        <f t="shared" ca="1" si="48"/>
        <v>=E145</v>
      </c>
      <c r="M145" s="49">
        <f>MIN(E145+'Partial Budget'!$G$21/100,1)</f>
        <v>0.99400000000000011</v>
      </c>
      <c r="N145" s="17" t="str">
        <f t="shared" ca="1" si="49"/>
        <v>=MIN(E145+'Partial Budget'!$G$21/100,1)</v>
      </c>
    </row>
    <row r="146" spans="2:14" x14ac:dyDescent="0.25">
      <c r="B146" s="1" t="s">
        <v>468</v>
      </c>
      <c r="C146" s="1" t="s">
        <v>3</v>
      </c>
      <c r="E146" s="19">
        <f t="shared" si="45"/>
        <v>0.25956548009982922</v>
      </c>
      <c r="F146" s="17" t="str">
        <f t="shared" ca="1" si="46"/>
        <v>=(E77+E89)/E42</v>
      </c>
      <c r="G146" s="17"/>
      <c r="K146" s="47">
        <f t="shared" si="47"/>
        <v>0.25956548009982922</v>
      </c>
      <c r="L146" s="17" t="str">
        <f t="shared" ca="1" si="48"/>
        <v>=E146</v>
      </c>
      <c r="M146" s="49">
        <f>MIN(E146+'Partial Budget'!$G$21/100,1)</f>
        <v>0.25956548009982922</v>
      </c>
      <c r="N146" s="17" t="str">
        <f t="shared" ca="1" si="49"/>
        <v>=MIN(E146+'Partial Budget'!$G$21/100,1)</v>
      </c>
    </row>
    <row r="147" spans="2:14" x14ac:dyDescent="0.25">
      <c r="B147" s="1" t="s">
        <v>469</v>
      </c>
      <c r="C147" s="1" t="s">
        <v>3</v>
      </c>
      <c r="E147" s="19">
        <f t="shared" si="45"/>
        <v>0.99399999999999988</v>
      </c>
      <c r="F147" s="17" t="str">
        <f t="shared" ca="1" si="46"/>
        <v>=(E78+E90)/E43</v>
      </c>
      <c r="G147" s="17"/>
      <c r="K147" s="47">
        <f t="shared" si="47"/>
        <v>0.99399999999999988</v>
      </c>
      <c r="L147" s="17" t="str">
        <f t="shared" ca="1" si="48"/>
        <v>=E147</v>
      </c>
      <c r="M147" s="49">
        <f>MIN(E147+'Partial Budget'!$G$21/100,1)</f>
        <v>0.99399999999999988</v>
      </c>
      <c r="N147" s="17" t="str">
        <f t="shared" ca="1" si="49"/>
        <v>=MIN(E147+'Partial Budget'!$G$21/100,1)</v>
      </c>
    </row>
    <row r="148" spans="2:14" x14ac:dyDescent="0.25">
      <c r="B148" s="1" t="s">
        <v>229</v>
      </c>
      <c r="C148" s="1" t="s">
        <v>3</v>
      </c>
      <c r="E148" s="19">
        <f>E79/E55</f>
        <v>2.1155667072619556E-2</v>
      </c>
      <c r="F148" s="17" t="str">
        <f t="shared" ca="1" si="46"/>
        <v>=E79/E55</v>
      </c>
      <c r="G148" s="17"/>
      <c r="K148" s="47">
        <f t="shared" si="47"/>
        <v>2.1155667072619556E-2</v>
      </c>
      <c r="L148" s="17" t="str">
        <f t="shared" ca="1" si="48"/>
        <v>=E148</v>
      </c>
      <c r="M148" s="49">
        <f>MIN(E148+'Partial Budget'!$G$21/100,1)</f>
        <v>2.1155667072619556E-2</v>
      </c>
      <c r="N148" s="17" t="str">
        <f t="shared" ca="1" si="49"/>
        <v>=MIN(E148+'Partial Budget'!$G$21/100,1)</v>
      </c>
    </row>
    <row r="149" spans="2:14" x14ac:dyDescent="0.25">
      <c r="B149" s="1" t="s">
        <v>230</v>
      </c>
      <c r="C149" s="1" t="s">
        <v>3</v>
      </c>
      <c r="E149" s="19">
        <f>E80/E56</f>
        <v>3.4482419434755981E-2</v>
      </c>
      <c r="F149" s="17" t="str">
        <f t="shared" ca="1" si="46"/>
        <v>=E80/E56</v>
      </c>
      <c r="G149" s="17"/>
      <c r="K149" s="47">
        <f t="shared" si="47"/>
        <v>3.4482419434755981E-2</v>
      </c>
      <c r="L149" s="17" t="str">
        <f t="shared" ca="1" si="48"/>
        <v>=E149</v>
      </c>
      <c r="M149" s="49">
        <f>MIN(E149+'Partial Budget'!$G$21/100,1)</f>
        <v>3.4482419434755981E-2</v>
      </c>
      <c r="N149" s="17" t="str">
        <f t="shared" ca="1" si="49"/>
        <v>=MIN(E149+'Partial Budget'!$G$21/100,1)</v>
      </c>
    </row>
    <row r="150" spans="2:14" x14ac:dyDescent="0.25">
      <c r="B150" s="1" t="s">
        <v>231</v>
      </c>
      <c r="C150" s="1" t="s">
        <v>3</v>
      </c>
      <c r="E150" s="19">
        <f>E81/E57</f>
        <v>2.5826060640489226E-2</v>
      </c>
      <c r="F150" s="17" t="str">
        <f t="shared" ca="1" si="46"/>
        <v>=E81/E57</v>
      </c>
      <c r="G150" s="17"/>
      <c r="K150" s="47">
        <f t="shared" si="47"/>
        <v>2.5826060640489226E-2</v>
      </c>
      <c r="L150" s="17" t="str">
        <f t="shared" ca="1" si="48"/>
        <v>=E150</v>
      </c>
      <c r="M150" s="49">
        <f>MIN(E150+'Partial Budget'!$G$21/100,1)</f>
        <v>2.5826060640489226E-2</v>
      </c>
      <c r="N150" s="17" t="str">
        <f t="shared" ca="1" si="49"/>
        <v>=MIN(E150+'Partial Budget'!$G$21/100,1)</v>
      </c>
    </row>
    <row r="151" spans="2:14" x14ac:dyDescent="0.25">
      <c r="F151" s="17"/>
      <c r="G151" s="17"/>
      <c r="L151" s="17"/>
      <c r="M151" s="17"/>
      <c r="N151" s="17"/>
    </row>
    <row r="152" spans="2:14" x14ac:dyDescent="0.25">
      <c r="B152" s="1" t="s">
        <v>233</v>
      </c>
      <c r="E152" s="19">
        <f>E84/(E72+E84)</f>
        <v>1</v>
      </c>
      <c r="F152" s="17" t="str">
        <f t="shared" ref="F152:F158" ca="1" si="50">_xlfn.FORMULATEXT(E152)</f>
        <v>=E84/(E72+E84)</v>
      </c>
      <c r="G152" s="17"/>
      <c r="K152" s="47">
        <f t="shared" ref="K152:K158" si="51">E152</f>
        <v>1</v>
      </c>
      <c r="L152" s="17" t="str">
        <f t="shared" ref="L152:L158" ca="1" si="52">_xlfn.FORMULATEXT(K152)</f>
        <v>=E152</v>
      </c>
      <c r="M152" s="47">
        <f>E152</f>
        <v>1</v>
      </c>
      <c r="N152" s="17" t="str">
        <f t="shared" ref="N152:N158" ca="1" si="53">_xlfn.FORMULATEXT(M152)</f>
        <v>=E152</v>
      </c>
    </row>
    <row r="153" spans="2:14" x14ac:dyDescent="0.25">
      <c r="B153" s="1" t="s">
        <v>227</v>
      </c>
      <c r="C153" s="1" t="s">
        <v>3</v>
      </c>
      <c r="E153" s="19">
        <f>E85/(E73+E85)</f>
        <v>0.36842105263157893</v>
      </c>
      <c r="F153" s="17" t="str">
        <f t="shared" ca="1" si="50"/>
        <v>=E85/(E73+E85)</v>
      </c>
      <c r="G153" s="17"/>
      <c r="I153" s="19">
        <f>E153</f>
        <v>0.36842105263157893</v>
      </c>
      <c r="J153" s="17" t="str">
        <f ca="1">_xlfn.FORMULATEXT(I153)</f>
        <v>=E153</v>
      </c>
      <c r="K153" s="47">
        <f t="shared" si="51"/>
        <v>0.36842105263157893</v>
      </c>
      <c r="L153" s="17" t="str">
        <f t="shared" ca="1" si="52"/>
        <v>=E153</v>
      </c>
      <c r="M153" s="49">
        <f>E153*(1-'Partial Budget'!$G$22/100)</f>
        <v>0.36842105263157893</v>
      </c>
      <c r="N153" s="17" t="str">
        <f t="shared" ca="1" si="53"/>
        <v>=E153*(1-'Partial Budget'!$G$22/100)</v>
      </c>
    </row>
    <row r="154" spans="2:14" x14ac:dyDescent="0.25">
      <c r="B154" s="1" t="s">
        <v>470</v>
      </c>
      <c r="C154" s="1" t="s">
        <v>3</v>
      </c>
      <c r="E154" s="19">
        <f>E86/(E74+E86)</f>
        <v>1</v>
      </c>
      <c r="F154" s="17" t="str">
        <f t="shared" ca="1" si="50"/>
        <v>=E86/(E74+E86)</v>
      </c>
      <c r="G154" s="17"/>
      <c r="I154" s="19">
        <f>E154</f>
        <v>1</v>
      </c>
      <c r="J154" s="17" t="str">
        <f ca="1">_xlfn.FORMULATEXT(I154)</f>
        <v>=E154</v>
      </c>
      <c r="K154" s="47">
        <f t="shared" si="51"/>
        <v>1</v>
      </c>
      <c r="L154" s="17" t="str">
        <f t="shared" ca="1" si="52"/>
        <v>=E154</v>
      </c>
      <c r="M154" s="47">
        <f>E154</f>
        <v>1</v>
      </c>
      <c r="N154" s="17" t="str">
        <f ca="1">_xlfn.FORMULATEXT(M154)</f>
        <v>=E154</v>
      </c>
    </row>
    <row r="155" spans="2:14" x14ac:dyDescent="0.25">
      <c r="B155" s="1" t="s">
        <v>234</v>
      </c>
      <c r="E155" s="19">
        <f>E87/(E75+E87)</f>
        <v>0.1</v>
      </c>
      <c r="F155" s="17" t="str">
        <f t="shared" ca="1" si="50"/>
        <v>=E87/(E75+E87)</v>
      </c>
      <c r="G155" s="17"/>
      <c r="I155" s="40"/>
      <c r="J155" s="17"/>
      <c r="K155" s="47">
        <f t="shared" si="51"/>
        <v>0.1</v>
      </c>
      <c r="L155" s="17" t="str">
        <f t="shared" ca="1" si="52"/>
        <v>=E155</v>
      </c>
      <c r="M155" s="49">
        <f>E155*(1-'Partial Budget'!$G$22/100)</f>
        <v>0.1</v>
      </c>
      <c r="N155" s="17" t="str">
        <f t="shared" ca="1" si="53"/>
        <v>=E155*(1-'Partial Budget'!$G$22/100)</v>
      </c>
    </row>
    <row r="156" spans="2:14" x14ac:dyDescent="0.25">
      <c r="B156" s="1" t="s">
        <v>471</v>
      </c>
      <c r="C156" s="1" t="s">
        <v>3</v>
      </c>
      <c r="E156" s="19">
        <f>E88/(E76+E88)</f>
        <v>1</v>
      </c>
      <c r="F156" s="17" t="str">
        <f t="shared" ca="1" si="50"/>
        <v>=E88/(E76+E88)</v>
      </c>
      <c r="G156" s="17"/>
      <c r="I156" s="19">
        <f>E156</f>
        <v>1</v>
      </c>
      <c r="J156" s="17" t="str">
        <f ca="1">_xlfn.FORMULATEXT(I156)</f>
        <v>=E156</v>
      </c>
      <c r="K156" s="47">
        <f t="shared" si="51"/>
        <v>1</v>
      </c>
      <c r="L156" s="17" t="str">
        <f t="shared" ca="1" si="52"/>
        <v>=E156</v>
      </c>
      <c r="M156" s="47">
        <f>E156</f>
        <v>1</v>
      </c>
      <c r="N156" s="17" t="str">
        <f t="shared" ca="1" si="53"/>
        <v>=E156</v>
      </c>
    </row>
    <row r="157" spans="2:14" x14ac:dyDescent="0.25">
      <c r="B157" s="1" t="s">
        <v>472</v>
      </c>
      <c r="C157" s="1" t="s">
        <v>3</v>
      </c>
      <c r="E157" s="19">
        <f>IF(E77+E89&gt;0,E89/(E77+E89),0)</f>
        <v>0</v>
      </c>
      <c r="F157" s="17" t="str">
        <f t="shared" ca="1" si="50"/>
        <v>=IF(E77+E89&gt;0,E89/(E77+E89),0)</v>
      </c>
      <c r="G157" s="17"/>
      <c r="I157" s="19">
        <f>E157</f>
        <v>0</v>
      </c>
      <c r="J157" s="17" t="str">
        <f ca="1">_xlfn.FORMULATEXT(I157)</f>
        <v>=E157</v>
      </c>
      <c r="K157" s="47">
        <f t="shared" si="51"/>
        <v>0</v>
      </c>
      <c r="L157" s="17" t="str">
        <f t="shared" ca="1" si="52"/>
        <v>=E157</v>
      </c>
      <c r="M157" s="49">
        <f>E157*(1-'Partial Budget'!$G$22/100)</f>
        <v>0</v>
      </c>
      <c r="N157" s="17" t="str">
        <f t="shared" ca="1" si="53"/>
        <v>=E157*(1-'Partial Budget'!$G$22/100)</v>
      </c>
    </row>
    <row r="158" spans="2:14" x14ac:dyDescent="0.25">
      <c r="B158" s="1" t="s">
        <v>473</v>
      </c>
      <c r="E158" s="19">
        <f>E90/(E78+E90)</f>
        <v>1</v>
      </c>
      <c r="F158" s="17" t="str">
        <f t="shared" ca="1" si="50"/>
        <v>=E90/(E78+E90)</v>
      </c>
      <c r="G158" s="17"/>
      <c r="I158" s="40"/>
      <c r="J158" s="17"/>
      <c r="K158" s="47">
        <f t="shared" si="51"/>
        <v>1</v>
      </c>
      <c r="L158" s="17" t="str">
        <f t="shared" ca="1" si="52"/>
        <v>=E158</v>
      </c>
      <c r="M158" s="47">
        <f>E158</f>
        <v>1</v>
      </c>
      <c r="N158" s="17" t="str">
        <f t="shared" ca="1" si="53"/>
        <v>=E158</v>
      </c>
    </row>
    <row r="159" spans="2:14" x14ac:dyDescent="0.25">
      <c r="F159" s="17"/>
      <c r="G159" s="17"/>
      <c r="I159" s="40"/>
      <c r="J159" s="17"/>
      <c r="K159" s="40"/>
      <c r="L159" s="17"/>
      <c r="M159" s="40"/>
      <c r="N159" s="17"/>
    </row>
    <row r="160" spans="2:14" x14ac:dyDescent="0.25">
      <c r="B160" s="55" t="s">
        <v>108</v>
      </c>
      <c r="C160" s="56"/>
      <c r="D160" s="56"/>
      <c r="E160" s="56"/>
      <c r="F160" s="57"/>
      <c r="G160" s="57"/>
      <c r="H160" s="56"/>
      <c r="I160" s="56"/>
      <c r="J160" s="56"/>
      <c r="K160" s="56"/>
      <c r="L160" s="56"/>
      <c r="M160" s="56"/>
      <c r="N160" s="56"/>
    </row>
    <row r="161" spans="2:14" x14ac:dyDescent="0.25">
      <c r="F161" s="16"/>
      <c r="G161" s="16"/>
      <c r="N161" s="17"/>
    </row>
    <row r="162" spans="2:14" x14ac:dyDescent="0.25">
      <c r="B162" s="1" t="s">
        <v>482</v>
      </c>
      <c r="C162" s="1" t="s">
        <v>6</v>
      </c>
      <c r="E162" s="26">
        <f>'Beef parameter'!C8</f>
        <v>150</v>
      </c>
      <c r="F162" s="17" t="str">
        <f ca="1">_xlfn.FORMULATEXT(E162)</f>
        <v>='Beef parameter'!C8</v>
      </c>
      <c r="G162" s="17"/>
      <c r="I162" s="26">
        <f>E162</f>
        <v>150</v>
      </c>
      <c r="J162" s="17" t="str">
        <f ca="1">_xlfn.FORMULATEXT(I162)</f>
        <v>=E162</v>
      </c>
      <c r="N162" s="17"/>
    </row>
    <row r="163" spans="2:14" x14ac:dyDescent="0.25">
      <c r="F163" s="16"/>
      <c r="G163" s="16"/>
      <c r="N163" s="17"/>
    </row>
    <row r="164" spans="2:14" x14ac:dyDescent="0.25">
      <c r="B164" s="1" t="s">
        <v>279</v>
      </c>
      <c r="C164" s="1" t="s">
        <v>6</v>
      </c>
      <c r="E164" s="26">
        <f>'Beef parameter'!C37</f>
        <v>1138</v>
      </c>
      <c r="F164" s="17" t="str">
        <f t="shared" ref="F164:F171" ca="1" si="54">_xlfn.FORMULATEXT(E164)</f>
        <v>='Beef parameter'!C37</v>
      </c>
      <c r="G164" s="17"/>
      <c r="K164" s="53">
        <f>E164</f>
        <v>1138</v>
      </c>
      <c r="L164" s="17" t="str">
        <f ca="1">_xlfn.FORMULATEXT(K164)</f>
        <v>=E164</v>
      </c>
      <c r="M164" s="54">
        <f>E164*(1-'Partial Budget'!$G$20/100)</f>
        <v>1135.7239999999999</v>
      </c>
      <c r="N164" s="17" t="str">
        <f ca="1">_xlfn.FORMULATEXT(M164)</f>
        <v>=E164*(1-'Partial Budget'!$G$20/100)</v>
      </c>
    </row>
    <row r="165" spans="2:14" x14ac:dyDescent="0.25">
      <c r="B165" s="1" t="s">
        <v>218</v>
      </c>
      <c r="C165" s="1" t="s">
        <v>6</v>
      </c>
      <c r="E165" s="26">
        <f>'Beef parameter'!C18</f>
        <v>997</v>
      </c>
      <c r="F165" s="17" t="str">
        <f t="shared" ca="1" si="54"/>
        <v>='Beef parameter'!C18</v>
      </c>
      <c r="G165" s="17"/>
      <c r="K165" s="53">
        <f>E165</f>
        <v>997</v>
      </c>
      <c r="L165" s="17" t="str">
        <f t="shared" ref="L165:L173" ca="1" si="55">_xlfn.FORMULATEXT(K165)</f>
        <v>=E165</v>
      </c>
      <c r="M165" s="54">
        <f>E165*(1-'Partial Budget'!$G$20/100)</f>
        <v>995.00599999999997</v>
      </c>
      <c r="N165" s="17" t="str">
        <f t="shared" ref="N165:N173" ca="1" si="56">_xlfn.FORMULATEXT(M165)</f>
        <v>=E165*(1-'Partial Budget'!$G$20/100)</v>
      </c>
    </row>
    <row r="166" spans="2:14" x14ac:dyDescent="0.25">
      <c r="B166" s="1" t="s">
        <v>474</v>
      </c>
      <c r="C166" s="1" t="s">
        <v>6</v>
      </c>
      <c r="E166" s="26"/>
      <c r="F166" s="17" t="e">
        <f t="shared" ca="1" si="54"/>
        <v>#N/A</v>
      </c>
      <c r="G166" s="17"/>
      <c r="K166" s="53">
        <f t="shared" ref="K166:K173" si="57">E166</f>
        <v>0</v>
      </c>
      <c r="L166" s="17" t="str">
        <f t="shared" ca="1" si="55"/>
        <v>=E166</v>
      </c>
      <c r="M166" s="54">
        <f>E166*(1-'Partial Budget'!$G$20/100)</f>
        <v>0</v>
      </c>
      <c r="N166" s="17" t="str">
        <f t="shared" ca="1" si="56"/>
        <v>=E166*(1-'Partial Budget'!$G$20/100)</v>
      </c>
    </row>
    <row r="167" spans="2:14" x14ac:dyDescent="0.25">
      <c r="B167" s="1" t="s">
        <v>219</v>
      </c>
      <c r="C167" s="1" t="s">
        <v>6</v>
      </c>
      <c r="E167" s="26">
        <f>'Beef parameter'!C16</f>
        <v>851</v>
      </c>
      <c r="F167" s="17" t="str">
        <f t="shared" ca="1" si="54"/>
        <v>='Beef parameter'!C16</v>
      </c>
      <c r="G167" s="17"/>
      <c r="K167" s="53">
        <f t="shared" si="57"/>
        <v>851</v>
      </c>
      <c r="L167" s="17" t="str">
        <f t="shared" ca="1" si="55"/>
        <v>=E167</v>
      </c>
      <c r="M167" s="54">
        <f>E167*(1-'Partial Budget'!$G$20/100)</f>
        <v>849.298</v>
      </c>
      <c r="N167" s="17" t="str">
        <f t="shared" ca="1" si="56"/>
        <v>=E167*(1-'Partial Budget'!$G$20/100)</v>
      </c>
    </row>
    <row r="168" spans="2:14" x14ac:dyDescent="0.25">
      <c r="B168" s="1" t="s">
        <v>475</v>
      </c>
      <c r="C168" s="1" t="s">
        <v>6</v>
      </c>
      <c r="E168" s="26"/>
      <c r="F168" s="17" t="e">
        <f t="shared" ca="1" si="54"/>
        <v>#N/A</v>
      </c>
      <c r="G168" s="17"/>
      <c r="K168" s="53">
        <f t="shared" si="57"/>
        <v>0</v>
      </c>
      <c r="L168" s="17" t="str">
        <f t="shared" ca="1" si="55"/>
        <v>=E168</v>
      </c>
      <c r="M168" s="54">
        <f>E168*(1-'Partial Budget'!$G$20/100)</f>
        <v>0</v>
      </c>
      <c r="N168" s="17" t="str">
        <f t="shared" ca="1" si="56"/>
        <v>=E168*(1-'Partial Budget'!$G$20/100)</v>
      </c>
    </row>
    <row r="169" spans="2:14" x14ac:dyDescent="0.25">
      <c r="B169" s="1" t="s">
        <v>476</v>
      </c>
      <c r="C169" s="1" t="s">
        <v>6</v>
      </c>
      <c r="E169" s="26">
        <f>'Beef parameter'!C20</f>
        <v>1171</v>
      </c>
      <c r="F169" s="17" t="str">
        <f t="shared" ca="1" si="54"/>
        <v>='Beef parameter'!C20</v>
      </c>
      <c r="G169" s="17"/>
      <c r="K169" s="53">
        <f t="shared" si="57"/>
        <v>1171</v>
      </c>
      <c r="L169" s="17" t="str">
        <f t="shared" ca="1" si="55"/>
        <v>=E169</v>
      </c>
      <c r="M169" s="54">
        <f>E169*(1-'Partial Budget'!$G$20/100)</f>
        <v>1168.6579999999999</v>
      </c>
      <c r="N169" s="17" t="str">
        <f t="shared" ca="1" si="56"/>
        <v>=E169*(1-'Partial Budget'!$G$20/100)</v>
      </c>
    </row>
    <row r="170" spans="2:14" x14ac:dyDescent="0.25">
      <c r="B170" s="1" t="s">
        <v>483</v>
      </c>
      <c r="C170" s="1" t="s">
        <v>6</v>
      </c>
      <c r="E170" s="26">
        <f>'Beef parameter'!C20</f>
        <v>1171</v>
      </c>
      <c r="F170" s="17" t="str">
        <f t="shared" ca="1" si="54"/>
        <v>='Beef parameter'!C20</v>
      </c>
      <c r="G170" s="17"/>
      <c r="K170" s="53">
        <f t="shared" si="57"/>
        <v>1171</v>
      </c>
      <c r="L170" s="17" t="str">
        <f t="shared" ca="1" si="55"/>
        <v>=E170</v>
      </c>
      <c r="M170" s="54">
        <f>E170*(1-'Partial Budget'!$G$20/100)</f>
        <v>1168.6579999999999</v>
      </c>
      <c r="N170" s="17" t="str">
        <f t="shared" ca="1" si="56"/>
        <v>=E170*(1-'Partial Budget'!$G$20/100)</v>
      </c>
    </row>
    <row r="171" spans="2:14" x14ac:dyDescent="0.25">
      <c r="B171" s="1" t="s">
        <v>220</v>
      </c>
      <c r="C171" s="1" t="s">
        <v>6</v>
      </c>
      <c r="E171" s="26">
        <f>'Beef parameter'!C12</f>
        <v>464</v>
      </c>
      <c r="F171" s="17" t="str">
        <f t="shared" ca="1" si="54"/>
        <v>='Beef parameter'!C12</v>
      </c>
      <c r="G171" s="17"/>
      <c r="K171" s="53">
        <f t="shared" si="57"/>
        <v>464</v>
      </c>
      <c r="L171" s="17" t="str">
        <f t="shared" ca="1" si="55"/>
        <v>=E171</v>
      </c>
      <c r="M171" s="54">
        <f>E171*(1-'Partial Budget'!$G$20/100)</f>
        <v>463.072</v>
      </c>
      <c r="N171" s="17" t="str">
        <f t="shared" ca="1" si="56"/>
        <v>=E171*(1-'Partial Budget'!$G$20/100)</v>
      </c>
    </row>
    <row r="172" spans="2:14" x14ac:dyDescent="0.25">
      <c r="B172" s="1" t="s">
        <v>221</v>
      </c>
      <c r="C172" s="1" t="s">
        <v>6</v>
      </c>
      <c r="E172" s="26">
        <f>'Beef parameter'!C10</f>
        <v>772</v>
      </c>
      <c r="F172" s="17" t="str">
        <f ca="1">_xlfn.FORMULATEXT(E172)</f>
        <v>='Beef parameter'!C10</v>
      </c>
      <c r="G172" s="17"/>
      <c r="K172" s="53">
        <f t="shared" si="57"/>
        <v>772</v>
      </c>
      <c r="L172" s="17" t="str">
        <f t="shared" ca="1" si="55"/>
        <v>=E172</v>
      </c>
      <c r="M172" s="54">
        <f>E172*(1-'Partial Budget'!$G$20/100)</f>
        <v>770.45600000000002</v>
      </c>
      <c r="N172" s="17" t="str">
        <f t="shared" ca="1" si="56"/>
        <v>=E172*(1-'Partial Budget'!$G$20/100)</v>
      </c>
    </row>
    <row r="173" spans="2:14" x14ac:dyDescent="0.25">
      <c r="B173" s="1" t="s">
        <v>222</v>
      </c>
      <c r="C173" s="1" t="s">
        <v>6</v>
      </c>
      <c r="E173" s="26">
        <f>'Beef parameter'!C14</f>
        <v>585</v>
      </c>
      <c r="F173" s="17" t="str">
        <f ca="1">_xlfn.FORMULATEXT(E173)</f>
        <v>='Beef parameter'!C14</v>
      </c>
      <c r="G173" s="17"/>
      <c r="K173" s="53">
        <f t="shared" si="57"/>
        <v>585</v>
      </c>
      <c r="L173" s="17" t="str">
        <f t="shared" ca="1" si="55"/>
        <v>=E173</v>
      </c>
      <c r="M173" s="54">
        <f>E173*(1-'Partial Budget'!$G$20/100)</f>
        <v>583.83000000000004</v>
      </c>
      <c r="N173" s="17" t="str">
        <f t="shared" ca="1" si="56"/>
        <v>=E173*(1-'Partial Budget'!$G$20/100)</v>
      </c>
    </row>
    <row r="174" spans="2:14" x14ac:dyDescent="0.25">
      <c r="F174" s="16"/>
      <c r="G174" s="127"/>
      <c r="I174" s="128"/>
      <c r="M174" s="29"/>
      <c r="N174" s="17"/>
    </row>
    <row r="175" spans="2:14" x14ac:dyDescent="0.25">
      <c r="B175" s="1" t="s">
        <v>223</v>
      </c>
      <c r="C175" s="1" t="s">
        <v>6</v>
      </c>
      <c r="E175" s="26">
        <f>'Beef parameter'!C30</f>
        <v>794</v>
      </c>
      <c r="F175" s="17" t="str">
        <f t="shared" ref="F175:F181" ca="1" si="58">_xlfn.FORMULATEXT(E175)</f>
        <v>='Beef parameter'!C30</v>
      </c>
      <c r="G175" s="127"/>
      <c r="I175" s="128"/>
      <c r="J175" s="17"/>
      <c r="K175" s="53">
        <f>E175</f>
        <v>794</v>
      </c>
      <c r="L175" s="17" t="str">
        <f ca="1">_xlfn.FORMULATEXT(K175)</f>
        <v>=E175</v>
      </c>
      <c r="M175" s="54">
        <f>E175*(1-'Partial Budget'!$G$20/100)</f>
        <v>792.41200000000003</v>
      </c>
      <c r="N175" s="17" t="str">
        <f ca="1">_xlfn.FORMULATEXT(M175)</f>
        <v>=E175*(1-'Partial Budget'!$G$20/100)</v>
      </c>
    </row>
    <row r="176" spans="2:14" x14ac:dyDescent="0.25">
      <c r="B176" s="1" t="s">
        <v>224</v>
      </c>
      <c r="C176" s="1" t="s">
        <v>6</v>
      </c>
      <c r="E176" s="26">
        <f>'Beef parameter'!C24</f>
        <v>1090</v>
      </c>
      <c r="F176" s="17" t="str">
        <f t="shared" ca="1" si="58"/>
        <v>='Beef parameter'!C24</v>
      </c>
      <c r="G176" s="127"/>
      <c r="I176" s="128"/>
      <c r="J176" s="17"/>
      <c r="K176" s="53">
        <f t="shared" ref="K176:K181" si="59">E176</f>
        <v>1090</v>
      </c>
      <c r="L176" s="17" t="str">
        <f t="shared" ref="L176:L181" ca="1" si="60">_xlfn.FORMULATEXT(K176)</f>
        <v>=E176</v>
      </c>
      <c r="M176" s="54">
        <f>E176*(1-'Partial Budget'!$G$20/100)</f>
        <v>1087.82</v>
      </c>
      <c r="N176" s="17" t="str">
        <f t="shared" ref="N176:N181" ca="1" si="61">_xlfn.FORMULATEXT(M176)</f>
        <v>=E176*(1-'Partial Budget'!$G$20/100)</v>
      </c>
    </row>
    <row r="177" spans="2:14" x14ac:dyDescent="0.25">
      <c r="B177" s="1" t="s">
        <v>477</v>
      </c>
      <c r="C177" s="1" t="s">
        <v>6</v>
      </c>
      <c r="E177" s="26">
        <f>'Beef parameter'!C26</f>
        <v>1297</v>
      </c>
      <c r="F177" s="17" t="str">
        <f t="shared" ca="1" si="58"/>
        <v>='Beef parameter'!C26</v>
      </c>
      <c r="G177" s="127"/>
      <c r="I177" s="128"/>
      <c r="J177" s="17"/>
      <c r="K177" s="53">
        <f t="shared" si="59"/>
        <v>1297</v>
      </c>
      <c r="L177" s="17" t="str">
        <f t="shared" ca="1" si="60"/>
        <v>=E177</v>
      </c>
      <c r="M177" s="54">
        <f>E177*(1-'Partial Budget'!$G$20/100)</f>
        <v>1294.4059999999999</v>
      </c>
      <c r="N177" s="17" t="str">
        <f t="shared" ca="1" si="61"/>
        <v>=E177*(1-'Partial Budget'!$G$20/100)</v>
      </c>
    </row>
    <row r="178" spans="2:14" x14ac:dyDescent="0.25">
      <c r="B178" s="1" t="s">
        <v>225</v>
      </c>
      <c r="C178" s="1" t="s">
        <v>6</v>
      </c>
      <c r="E178" s="26">
        <f>'Beef parameter'!C22</f>
        <v>1098</v>
      </c>
      <c r="F178" s="17" t="str">
        <f t="shared" ca="1" si="58"/>
        <v>='Beef parameter'!C22</v>
      </c>
      <c r="G178" s="127"/>
      <c r="I178" s="128"/>
      <c r="J178" s="17"/>
      <c r="K178" s="53">
        <f t="shared" si="59"/>
        <v>1098</v>
      </c>
      <c r="L178" s="17" t="str">
        <f t="shared" ca="1" si="60"/>
        <v>=E178</v>
      </c>
      <c r="M178" s="54">
        <f>E178*(1-'Partial Budget'!$G$20/100)</f>
        <v>1095.8040000000001</v>
      </c>
      <c r="N178" s="17" t="str">
        <f t="shared" ca="1" si="61"/>
        <v>=E178*(1-'Partial Budget'!$G$20/100)</v>
      </c>
    </row>
    <row r="179" spans="2:14" x14ac:dyDescent="0.25">
      <c r="B179" s="1" t="s">
        <v>478</v>
      </c>
      <c r="C179" s="1" t="s">
        <v>6</v>
      </c>
      <c r="E179" s="26">
        <f>'Beef parameter'!C28</f>
        <v>1710</v>
      </c>
      <c r="F179" s="17" t="str">
        <f t="shared" ca="1" si="58"/>
        <v>='Beef parameter'!C28</v>
      </c>
      <c r="G179" s="127"/>
      <c r="I179" s="128"/>
      <c r="J179" s="17"/>
      <c r="K179" s="53">
        <f t="shared" si="59"/>
        <v>1710</v>
      </c>
      <c r="L179" s="17" t="str">
        <f t="shared" ca="1" si="60"/>
        <v>=E179</v>
      </c>
      <c r="M179" s="54">
        <f>E179*(1-'Partial Budget'!$G$20/100)</f>
        <v>1706.58</v>
      </c>
      <c r="N179" s="17" t="str">
        <f t="shared" ca="1" si="61"/>
        <v>=E179*(1-'Partial Budget'!$G$20/100)</v>
      </c>
    </row>
    <row r="180" spans="2:14" x14ac:dyDescent="0.25">
      <c r="B180" s="1" t="s">
        <v>479</v>
      </c>
      <c r="C180" s="1" t="s">
        <v>6</v>
      </c>
      <c r="E180" s="26">
        <f>'Beef parameter'!C32</f>
        <v>1572</v>
      </c>
      <c r="F180" s="17" t="str">
        <f t="shared" ca="1" si="58"/>
        <v>='Beef parameter'!C32</v>
      </c>
      <c r="G180" s="127"/>
      <c r="I180" s="128"/>
      <c r="J180" s="17"/>
      <c r="K180" s="53">
        <f t="shared" si="59"/>
        <v>1572</v>
      </c>
      <c r="L180" s="17" t="str">
        <f t="shared" ca="1" si="60"/>
        <v>=E180</v>
      </c>
      <c r="M180" s="54">
        <f>E180*(1-'Partial Budget'!$G$20/100)</f>
        <v>1568.856</v>
      </c>
      <c r="N180" s="17" t="str">
        <f t="shared" ca="1" si="61"/>
        <v>=E180*(1-'Partial Budget'!$G$20/100)</v>
      </c>
    </row>
    <row r="181" spans="2:14" x14ac:dyDescent="0.25">
      <c r="B181" s="1" t="s">
        <v>465</v>
      </c>
      <c r="C181" s="1" t="s">
        <v>6</v>
      </c>
      <c r="E181" s="26">
        <f>'Beef parameter'!C32</f>
        <v>1572</v>
      </c>
      <c r="F181" s="17" t="str">
        <f t="shared" ca="1" si="58"/>
        <v>='Beef parameter'!C32</v>
      </c>
      <c r="G181" s="17"/>
      <c r="J181" s="17"/>
      <c r="K181" s="53">
        <f t="shared" si="59"/>
        <v>1572</v>
      </c>
      <c r="L181" s="17" t="str">
        <f t="shared" ca="1" si="60"/>
        <v>=E181</v>
      </c>
      <c r="M181" s="54">
        <f>E181*(1-'Partial Budget'!$G$20/100)</f>
        <v>1568.856</v>
      </c>
      <c r="N181" s="17" t="str">
        <f t="shared" ca="1" si="61"/>
        <v>=E181*(1-'Partial Budget'!$G$20/100)</v>
      </c>
    </row>
    <row r="182" spans="2:14" x14ac:dyDescent="0.25">
      <c r="F182" s="16"/>
      <c r="G182" s="16"/>
      <c r="L182" s="17"/>
      <c r="N182" s="17"/>
    </row>
    <row r="183" spans="2:14" x14ac:dyDescent="0.25">
      <c r="B183" s="55" t="s">
        <v>64</v>
      </c>
      <c r="C183" s="56"/>
      <c r="D183" s="56"/>
      <c r="E183" s="56"/>
      <c r="F183" s="57"/>
      <c r="G183" s="57"/>
      <c r="H183" s="56"/>
      <c r="I183" s="56"/>
      <c r="J183" s="56"/>
      <c r="K183" s="56"/>
      <c r="L183" s="56"/>
      <c r="M183" s="56"/>
      <c r="N183" s="56"/>
    </row>
    <row r="184" spans="2:14" x14ac:dyDescent="0.25">
      <c r="F184" s="16"/>
      <c r="G184" s="16"/>
      <c r="L184" s="17"/>
      <c r="N184" s="17"/>
    </row>
    <row r="185" spans="2:14" x14ac:dyDescent="0.25">
      <c r="B185" s="2" t="s">
        <v>10</v>
      </c>
      <c r="F185" s="16"/>
      <c r="G185" s="16"/>
      <c r="L185" s="17"/>
      <c r="N185" s="17"/>
    </row>
    <row r="186" spans="2:14" x14ac:dyDescent="0.25">
      <c r="B186" s="1" t="s">
        <v>198</v>
      </c>
      <c r="C186" s="1" t="s">
        <v>185</v>
      </c>
      <c r="E186" s="62">
        <f>'Beef parameter'!C39*E196</f>
        <v>5.2892279238048339</v>
      </c>
      <c r="F186" s="17" t="str">
        <f ca="1">_xlfn.FORMULATEXT(E186)</f>
        <v>='Beef parameter'!C39*E196</v>
      </c>
      <c r="G186" s="17"/>
      <c r="I186" s="25">
        <f>E186</f>
        <v>5.2892279238048339</v>
      </c>
      <c r="J186" s="17" t="str">
        <f ca="1">_xlfn.FORMULATEXT(I186)</f>
        <v>=E186</v>
      </c>
    </row>
    <row r="187" spans="2:14" x14ac:dyDescent="0.25">
      <c r="F187" s="16"/>
      <c r="G187" s="16"/>
    </row>
    <row r="188" spans="2:14" x14ac:dyDescent="0.25">
      <c r="B188" s="2" t="s">
        <v>0</v>
      </c>
      <c r="F188" s="16"/>
      <c r="G188" s="16"/>
    </row>
    <row r="189" spans="2:14" x14ac:dyDescent="0.25">
      <c r="B189" s="1" t="s">
        <v>226</v>
      </c>
      <c r="C189" s="1" t="s">
        <v>185</v>
      </c>
      <c r="E189" s="62">
        <f>'Beef parameter'!C40*E196</f>
        <v>2.368920614522628</v>
      </c>
      <c r="F189" s="17" t="str">
        <f ca="1">_xlfn.FORMULATEXT(E189)</f>
        <v>='Beef parameter'!C40*E196</v>
      </c>
      <c r="G189" s="17"/>
      <c r="I189" s="25">
        <f>E189</f>
        <v>2.368920614522628</v>
      </c>
      <c r="J189" s="17" t="str">
        <f ca="1">_xlfn.FORMULATEXT(I189)</f>
        <v>=E189</v>
      </c>
    </row>
    <row r="190" spans="2:14" x14ac:dyDescent="0.25">
      <c r="B190" s="1" t="s">
        <v>283</v>
      </c>
      <c r="C190" s="1" t="s">
        <v>6</v>
      </c>
      <c r="F190" s="17"/>
      <c r="G190" s="17"/>
      <c r="J190" s="17"/>
      <c r="M190" s="54">
        <f>'Partial Budget'!G25*'Partial Budget'!G24/100</f>
        <v>0</v>
      </c>
      <c r="N190" s="17" t="str">
        <f ca="1">_xlfn.FORMULATEXT(M190)</f>
        <v>='Partial Budget'!G25*'Partial Budget'!G24/100</v>
      </c>
    </row>
    <row r="191" spans="2:14" x14ac:dyDescent="0.25">
      <c r="E191" s="10"/>
      <c r="F191" s="16"/>
      <c r="G191" s="16"/>
      <c r="I191" s="10"/>
    </row>
    <row r="192" spans="2:14" x14ac:dyDescent="0.25">
      <c r="B192" s="2" t="s">
        <v>272</v>
      </c>
      <c r="E192" s="10"/>
      <c r="F192" s="16"/>
      <c r="G192" s="16"/>
      <c r="I192" s="10"/>
    </row>
    <row r="193" spans="2:10" x14ac:dyDescent="0.25">
      <c r="B193" s="1" t="s">
        <v>273</v>
      </c>
      <c r="C193" s="1" t="s">
        <v>274</v>
      </c>
      <c r="E193" s="62">
        <f>'Beef parameter'!C41</f>
        <v>125</v>
      </c>
      <c r="F193" s="17" t="str">
        <f ca="1">_xlfn.FORMULATEXT(E193)</f>
        <v>='Beef parameter'!C41</v>
      </c>
      <c r="G193" s="17"/>
      <c r="I193" s="62">
        <f>E193</f>
        <v>125</v>
      </c>
      <c r="J193" s="17" t="str">
        <f ca="1">_xlfn.FORMULATEXT(I193)</f>
        <v>=E193</v>
      </c>
    </row>
    <row r="194" spans="2:10" x14ac:dyDescent="0.25">
      <c r="B194" s="1" t="s">
        <v>362</v>
      </c>
      <c r="C194" s="1" t="s">
        <v>6</v>
      </c>
      <c r="E194" s="62">
        <f>'Beef parameter'!C45*E196</f>
        <v>5.1718029795504803</v>
      </c>
      <c r="F194" s="17" t="str">
        <f ca="1">_xlfn.FORMULATEXT(E194)</f>
        <v>='Beef parameter'!C45*E196</v>
      </c>
      <c r="G194" s="17"/>
      <c r="I194" s="62">
        <f>E194</f>
        <v>5.1718029795504803</v>
      </c>
      <c r="J194" s="17" t="str">
        <f ca="1">_xlfn.FORMULATEXT(I194)</f>
        <v>=E194</v>
      </c>
    </row>
    <row r="196" spans="2:10" x14ac:dyDescent="0.25">
      <c r="B196" s="1" t="s">
        <v>527</v>
      </c>
      <c r="E196" s="125">
        <f>'Beef parameter'!C2/E103</f>
        <v>0.51054323588849748</v>
      </c>
      <c r="F196" s="17" t="str">
        <f ca="1">_xlfn.FORMULATEXT(E196)</f>
        <v>='Beef parameter'!C2/E103</v>
      </c>
    </row>
  </sheetData>
  <mergeCells count="2">
    <mergeCell ref="E2:F2"/>
    <mergeCell ref="I2:N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C7BD3-2FBA-43ED-BAA2-6DA5B29D3174}">
  <sheetPr codeName="Sheet4"/>
  <dimension ref="B2:S144"/>
  <sheetViews>
    <sheetView workbookViewId="0">
      <selection activeCell="G8" sqref="G8"/>
    </sheetView>
  </sheetViews>
  <sheetFormatPr defaultColWidth="9.140625" defaultRowHeight="15" x14ac:dyDescent="0.25"/>
  <cols>
    <col min="1" max="1" width="2.7109375" style="1" customWidth="1"/>
    <col min="2" max="2" width="51.5703125" style="1" bestFit="1" customWidth="1"/>
    <col min="3" max="3" width="22.7109375" style="1" bestFit="1" customWidth="1"/>
    <col min="4" max="4" width="2" style="1" customWidth="1"/>
    <col min="5" max="5" width="16.140625" style="1" bestFit="1" customWidth="1"/>
    <col min="6" max="6" width="32.7109375" style="1" customWidth="1"/>
    <col min="7" max="7" width="11.85546875" style="1" customWidth="1"/>
    <col min="8" max="8" width="2.28515625" style="1" customWidth="1"/>
    <col min="9" max="9" width="16.140625" style="1" bestFit="1" customWidth="1"/>
    <col min="10" max="10" width="20.85546875" style="1" customWidth="1"/>
    <col min="11" max="11" width="16.140625" style="1" bestFit="1" customWidth="1"/>
    <col min="12" max="12" width="21.140625" style="1" customWidth="1"/>
    <col min="13" max="13" width="16.140625" style="1" bestFit="1" customWidth="1"/>
    <col min="14" max="14" width="21.140625" style="1" customWidth="1"/>
    <col min="15" max="15" width="11.5703125" style="1" bestFit="1" customWidth="1"/>
    <col min="16" max="17" width="9.140625" style="1"/>
    <col min="18" max="18" width="10.5703125" style="1" bestFit="1" customWidth="1"/>
    <col min="19" max="16384" width="9.140625" style="1"/>
  </cols>
  <sheetData>
    <row r="2" spans="2:15" x14ac:dyDescent="0.25">
      <c r="B2" s="21"/>
      <c r="C2" s="21"/>
      <c r="D2" s="21"/>
      <c r="E2" s="129" t="s">
        <v>61</v>
      </c>
      <c r="F2" s="129"/>
      <c r="G2" s="111"/>
      <c r="H2" s="21"/>
      <c r="I2" s="129" t="s">
        <v>63</v>
      </c>
      <c r="J2" s="129"/>
      <c r="K2" s="129"/>
      <c r="L2" s="129"/>
      <c r="M2" s="129"/>
      <c r="N2" s="129"/>
    </row>
    <row r="3" spans="2:15" x14ac:dyDescent="0.25">
      <c r="B3" s="21" t="s">
        <v>56</v>
      </c>
      <c r="C3" s="21" t="s">
        <v>62</v>
      </c>
      <c r="D3" s="21"/>
      <c r="E3" s="39" t="s">
        <v>90</v>
      </c>
      <c r="F3" s="39"/>
      <c r="G3" s="39" t="s">
        <v>419</v>
      </c>
      <c r="H3" s="21"/>
      <c r="I3" s="39" t="s">
        <v>90</v>
      </c>
      <c r="J3" s="21"/>
      <c r="K3" s="39" t="s">
        <v>75</v>
      </c>
      <c r="L3" s="39"/>
      <c r="M3" s="39" t="s">
        <v>74</v>
      </c>
      <c r="N3" s="39"/>
    </row>
    <row r="4" spans="2:15" x14ac:dyDescent="0.25">
      <c r="B4" s="2"/>
      <c r="F4" s="11"/>
      <c r="G4" s="11"/>
      <c r="L4" s="17"/>
      <c r="N4" s="17"/>
    </row>
    <row r="5" spans="2:15" x14ac:dyDescent="0.25">
      <c r="B5" s="55" t="s">
        <v>45</v>
      </c>
      <c r="C5" s="56"/>
      <c r="D5" s="56"/>
      <c r="E5" s="56"/>
      <c r="F5" s="57"/>
      <c r="G5" s="57"/>
      <c r="H5" s="56"/>
      <c r="I5" s="56"/>
      <c r="J5" s="56"/>
      <c r="K5" s="56"/>
      <c r="L5" s="56"/>
      <c r="M5" s="56"/>
      <c r="N5" s="56"/>
    </row>
    <row r="6" spans="2:15" x14ac:dyDescent="0.25">
      <c r="B6" s="2"/>
      <c r="F6" s="16"/>
      <c r="G6" s="16">
        <f>'Sheep parameter'!C26-'Sheep parameter'!C30</f>
        <v>129942.87999999999</v>
      </c>
    </row>
    <row r="7" spans="2:15" x14ac:dyDescent="0.25">
      <c r="B7" s="1" t="s">
        <v>533</v>
      </c>
      <c r="C7" s="1" t="s">
        <v>12</v>
      </c>
      <c r="D7" s="16"/>
      <c r="E7" s="12">
        <f>E9-E24</f>
        <v>113520.79912034998</v>
      </c>
      <c r="F7" s="17" t="str">
        <f ca="1">_xlfn.FORMULATEXT(E7)</f>
        <v>=E9-E24</v>
      </c>
      <c r="G7" s="112">
        <f>(E7-G6)/G6</f>
        <v>-0.12637922816278974</v>
      </c>
      <c r="H7" s="16"/>
      <c r="I7" s="12">
        <f>I9-I24</f>
        <v>111094.75734148781</v>
      </c>
      <c r="J7" s="17" t="str">
        <f ca="1">_xlfn.FORMULATEXT(I7)</f>
        <v>=I9-I24</v>
      </c>
      <c r="K7" s="16"/>
      <c r="L7" s="16"/>
      <c r="M7" s="16"/>
      <c r="N7" s="16"/>
    </row>
    <row r="8" spans="2:15" x14ac:dyDescent="0.25">
      <c r="E8" s="3"/>
      <c r="F8" s="17"/>
      <c r="G8" s="17"/>
      <c r="H8" s="16"/>
      <c r="I8" s="3"/>
      <c r="K8" s="3"/>
      <c r="M8" s="3"/>
    </row>
    <row r="9" spans="2:15" x14ac:dyDescent="0.25">
      <c r="B9" s="1" t="s">
        <v>530</v>
      </c>
      <c r="C9" s="1" t="s">
        <v>12</v>
      </c>
      <c r="E9" s="12">
        <f>SUM(E10:E11)</f>
        <v>143694.40812034998</v>
      </c>
      <c r="F9" s="17" t="str">
        <f t="shared" ref="F9:F15" ca="1" si="0">_xlfn.FORMULATEXT(E9)</f>
        <v>=SUM(E10:E11)</v>
      </c>
      <c r="G9" s="112">
        <f>(E9-'Sheep parameter'!C26)/'Sheep parameter'!C26</f>
        <v>-5.9585723076485152E-2</v>
      </c>
      <c r="H9" s="16"/>
      <c r="I9" s="12">
        <f>SUM(I10:I11)</f>
        <v>141113.95055869856</v>
      </c>
      <c r="J9" s="17" t="str">
        <f t="shared" ref="J9:J16" ca="1" si="1">_xlfn.FORMULATEXT(I9)</f>
        <v>=SUM(I10:I11)</v>
      </c>
      <c r="K9" s="41">
        <f>SUM(K10:K11)</f>
        <v>9361.1717855049519</v>
      </c>
      <c r="L9" s="17" t="str">
        <f t="shared" ref="L9:L15" ca="1" si="2">_xlfn.FORMULATEXT(K9)</f>
        <v>=SUM(K10:K11)</v>
      </c>
      <c r="M9" s="41">
        <f>SUM(M10:M11)</f>
        <v>647.74964304095067</v>
      </c>
      <c r="N9" s="17" t="str">
        <f t="shared" ref="N9:N15" ca="1" si="3">_xlfn.FORMULATEXT(M9)</f>
        <v>=SUM(M10:M11)</v>
      </c>
    </row>
    <row r="10" spans="2:15" x14ac:dyDescent="0.25">
      <c r="B10" s="1" t="s">
        <v>176</v>
      </c>
      <c r="C10" s="1" t="s">
        <v>12</v>
      </c>
      <c r="E10" s="12">
        <f>E75*E117</f>
        <v>10120.185714059406</v>
      </c>
      <c r="F10" s="17" t="str">
        <f t="shared" ca="1" si="0"/>
        <v>=E75*E117</v>
      </c>
      <c r="G10" s="17"/>
      <c r="H10" s="16"/>
      <c r="I10" s="12">
        <f t="shared" ref="I10:I15" si="4">K10+M10</f>
        <v>10008.921428545902</v>
      </c>
      <c r="J10" s="17" t="str">
        <f t="shared" ca="1" si="1"/>
        <v>=K10+M10</v>
      </c>
      <c r="K10" s="41">
        <f>K75*K117</f>
        <v>9361.1717855049519</v>
      </c>
      <c r="L10" s="17" t="str">
        <f t="shared" ca="1" si="2"/>
        <v>=K75*K117</v>
      </c>
      <c r="M10" s="41">
        <f>M75*M117</f>
        <v>647.74964304095067</v>
      </c>
      <c r="N10" s="17" t="str">
        <f t="shared" ca="1" si="3"/>
        <v>=M75*M117</v>
      </c>
    </row>
    <row r="11" spans="2:15" x14ac:dyDescent="0.25">
      <c r="B11" s="1" t="s">
        <v>492</v>
      </c>
      <c r="C11" s="1" t="s">
        <v>12</v>
      </c>
      <c r="E11" s="12">
        <f>E12-E16</f>
        <v>133574.22240629059</v>
      </c>
      <c r="F11" s="17" t="str">
        <f t="shared" ca="1" si="0"/>
        <v>=E12-E16</v>
      </c>
      <c r="G11" s="17"/>
      <c r="H11" s="16"/>
      <c r="I11" s="12">
        <f>I12-I16</f>
        <v>131105.02913015266</v>
      </c>
      <c r="J11" s="17" t="str">
        <f t="shared" ca="1" si="1"/>
        <v>=I12-I16</v>
      </c>
      <c r="K11" s="17"/>
      <c r="L11" s="17"/>
      <c r="M11" s="17"/>
      <c r="N11" s="17"/>
    </row>
    <row r="12" spans="2:15" s="103" customFormat="1" x14ac:dyDescent="0.25">
      <c r="B12" s="103" t="s">
        <v>29</v>
      </c>
      <c r="C12" s="103" t="s">
        <v>12</v>
      </c>
      <c r="E12" s="104">
        <f>SUM(E13:E15)</f>
        <v>183268.24</v>
      </c>
      <c r="F12" s="17" t="str">
        <f t="shared" ca="1" si="0"/>
        <v>=SUM(E13:E15)</v>
      </c>
      <c r="G12" s="17"/>
      <c r="H12" s="108"/>
      <c r="I12" s="104">
        <f>SUM(I13:I15)</f>
        <v>184327.63092190045</v>
      </c>
      <c r="J12" s="105" t="str">
        <f t="shared" ca="1" si="1"/>
        <v>=SUM(I13:I15)</v>
      </c>
      <c r="K12" s="107">
        <f>SUM(K13:K15)</f>
        <v>163124.92598714057</v>
      </c>
      <c r="L12" s="105" t="str">
        <f t="shared" ca="1" si="2"/>
        <v>=SUM(K13:K15)</v>
      </c>
      <c r="M12" s="107">
        <f>SUM(M13:M15)</f>
        <v>21202.704934759902</v>
      </c>
      <c r="N12" s="105" t="str">
        <f t="shared" ca="1" si="3"/>
        <v>=SUM(M13:M15)</v>
      </c>
    </row>
    <row r="13" spans="2:15" s="103" customFormat="1" x14ac:dyDescent="0.25">
      <c r="B13" s="103" t="s">
        <v>188</v>
      </c>
      <c r="C13" s="103" t="s">
        <v>12</v>
      </c>
      <c r="E13" s="104">
        <f>E57*E124</f>
        <v>16560</v>
      </c>
      <c r="F13" s="105" t="str">
        <f t="shared" ca="1" si="0"/>
        <v>=E57*E124</v>
      </c>
      <c r="G13" s="105"/>
      <c r="H13" s="108"/>
      <c r="I13" s="104">
        <f t="shared" si="4"/>
        <v>17976.599999999999</v>
      </c>
      <c r="J13" s="105" t="str">
        <f t="shared" ca="1" si="1"/>
        <v>=K13+M13</v>
      </c>
      <c r="K13" s="107">
        <f>K57*K124</f>
        <v>15318</v>
      </c>
      <c r="L13" s="105" t="str">
        <f t="shared" ca="1" si="2"/>
        <v>=K57*K124</v>
      </c>
      <c r="M13" s="107">
        <f>M57*M124</f>
        <v>2658.6000000000004</v>
      </c>
      <c r="N13" s="105" t="str">
        <f t="shared" ca="1" si="3"/>
        <v>=M57*M124</v>
      </c>
    </row>
    <row r="14" spans="2:15" s="103" customFormat="1" x14ac:dyDescent="0.25">
      <c r="B14" s="103" t="s">
        <v>189</v>
      </c>
      <c r="C14" s="103" t="s">
        <v>12</v>
      </c>
      <c r="E14" s="104">
        <f>E58*E125</f>
        <v>24909.759999999998</v>
      </c>
      <c r="F14" s="105" t="str">
        <f t="shared" ca="1" si="0"/>
        <v>=E58*E125</v>
      </c>
      <c r="G14" s="105"/>
      <c r="H14" s="108"/>
      <c r="I14" s="104">
        <f t="shared" si="4"/>
        <v>25771.687671287131</v>
      </c>
      <c r="J14" s="105" t="str">
        <f t="shared" ca="1" si="1"/>
        <v>=K14+M14</v>
      </c>
      <c r="K14" s="107">
        <f>K58*K125</f>
        <v>23041.528000000002</v>
      </c>
      <c r="L14" s="105" t="str">
        <f t="shared" ca="1" si="2"/>
        <v>=K58*K125</v>
      </c>
      <c r="M14" s="107">
        <f>M58*M125</f>
        <v>2730.1596712871283</v>
      </c>
      <c r="N14" s="105" t="str">
        <f t="shared" ca="1" si="3"/>
        <v>=M58*M125</v>
      </c>
    </row>
    <row r="15" spans="2:15" s="103" customFormat="1" x14ac:dyDescent="0.25">
      <c r="B15" s="103" t="s">
        <v>82</v>
      </c>
      <c r="C15" s="103" t="s">
        <v>12</v>
      </c>
      <c r="E15" s="104">
        <f>(E54*E121)+(E59*E126)</f>
        <v>141798.48000000001</v>
      </c>
      <c r="F15" s="105" t="str">
        <f t="shared" ca="1" si="0"/>
        <v>=(E54*E121)+(E59*E126)</v>
      </c>
      <c r="G15" s="105"/>
      <c r="H15" s="108"/>
      <c r="I15" s="104">
        <f t="shared" si="4"/>
        <v>140579.34325061331</v>
      </c>
      <c r="J15" s="105" t="str">
        <f t="shared" ca="1" si="1"/>
        <v>=K15+M15</v>
      </c>
      <c r="K15" s="107">
        <f>(K54*K121)+(K59*K126)</f>
        <v>124765.39798714055</v>
      </c>
      <c r="L15" s="105" t="str">
        <f t="shared" ca="1" si="2"/>
        <v>=(K54*K121)+(K59*K126)</v>
      </c>
      <c r="M15" s="107">
        <f>(M54*M121)+(M59*M126)</f>
        <v>15813.945263472771</v>
      </c>
      <c r="N15" s="105" t="str">
        <f t="shared" ca="1" si="3"/>
        <v>=(M54*M121)+(M59*M126)</v>
      </c>
    </row>
    <row r="16" spans="2:15" s="103" customFormat="1" x14ac:dyDescent="0.25">
      <c r="B16" s="103" t="s">
        <v>491</v>
      </c>
      <c r="C16" s="103" t="s">
        <v>12</v>
      </c>
      <c r="E16" s="104">
        <f>E17+E18</f>
        <v>49694.017593709417</v>
      </c>
      <c r="F16" s="105" t="str">
        <f t="shared" ref="F16:F22" ca="1" si="5">_xlfn.FORMULATEXT(E16)</f>
        <v>=E17+E18</v>
      </c>
      <c r="G16" s="105"/>
      <c r="H16" s="108"/>
      <c r="I16" s="104">
        <f>I17+I18</f>
        <v>53222.601791747802</v>
      </c>
      <c r="J16" s="105" t="str">
        <f t="shared" ca="1" si="1"/>
        <v>=I17+I18</v>
      </c>
      <c r="K16" s="108"/>
      <c r="L16" s="108"/>
      <c r="M16" s="108"/>
      <c r="N16" s="108"/>
      <c r="O16" s="108"/>
    </row>
    <row r="17" spans="2:15" s="103" customFormat="1" x14ac:dyDescent="0.25">
      <c r="B17" s="103" t="s">
        <v>20</v>
      </c>
      <c r="C17" s="103" t="s">
        <v>12</v>
      </c>
      <c r="E17" s="104">
        <f>(E38*E121)+(E39*E121)+(E40*E120)+(E41*E122)</f>
        <v>49694.017593709417</v>
      </c>
      <c r="F17" s="105" t="str">
        <f t="shared" ca="1" si="5"/>
        <v>=(E38*E121)+(E39*E121)+(E40*E120)+(E41*E122)</v>
      </c>
      <c r="G17" s="105"/>
      <c r="H17" s="108"/>
      <c r="I17" s="104">
        <f>(I38*I121)+(I39*I121)+(I40*I120)+(I41*I122)</f>
        <v>49973.423853709406</v>
      </c>
      <c r="J17" s="105" t="str">
        <f ca="1">_xlfn.FORMULATEXT(I17)</f>
        <v>=(I38*I121)+(I39*I121)+(I40*I120)+(I41*I122)</v>
      </c>
      <c r="K17" s="108"/>
      <c r="L17" s="108"/>
      <c r="M17" s="108"/>
      <c r="N17" s="108"/>
      <c r="O17" s="108"/>
    </row>
    <row r="18" spans="2:15" s="103" customFormat="1" x14ac:dyDescent="0.25">
      <c r="B18" s="103" t="s">
        <v>289</v>
      </c>
      <c r="C18" s="103" t="s">
        <v>12</v>
      </c>
      <c r="E18" s="104">
        <f>SUM(E19:E21)</f>
        <v>0</v>
      </c>
      <c r="F18" s="105" t="str">
        <f t="shared" ca="1" si="5"/>
        <v>=SUM(E19:E21)</v>
      </c>
      <c r="G18" s="105"/>
      <c r="H18" s="108"/>
      <c r="I18" s="104">
        <f>SUM(I19:I21)</f>
        <v>3249.1779380383987</v>
      </c>
      <c r="J18" s="105" t="str">
        <f ca="1">_xlfn.FORMULATEXT(I18)</f>
        <v>=SUM(I19:I21)</v>
      </c>
      <c r="K18" s="108"/>
      <c r="L18" s="108"/>
      <c r="M18" s="108"/>
      <c r="N18" s="108"/>
      <c r="O18" s="108"/>
    </row>
    <row r="19" spans="2:15" s="103" customFormat="1" x14ac:dyDescent="0.25">
      <c r="B19" s="103" t="s">
        <v>298</v>
      </c>
      <c r="C19" s="103" t="s">
        <v>12</v>
      </c>
      <c r="E19" s="104">
        <v>0</v>
      </c>
      <c r="F19" s="105" t="e">
        <f t="shared" ca="1" si="5"/>
        <v>#N/A</v>
      </c>
      <c r="G19" s="105"/>
      <c r="H19" s="108"/>
      <c r="I19" s="104">
        <f>IF(E68&gt;I68,(E68-I68)*E124,0)</f>
        <v>1756.583999999998</v>
      </c>
      <c r="J19" s="105" t="str">
        <f ca="1">_xlfn.FORMULATEXT(I19)</f>
        <v>=IF(E68&gt;I68,(E68-I68)*E124,0)</v>
      </c>
      <c r="K19" s="108"/>
      <c r="L19" s="108"/>
      <c r="M19" s="108"/>
      <c r="N19" s="108"/>
      <c r="O19" s="108"/>
    </row>
    <row r="20" spans="2:15" s="103" customFormat="1" x14ac:dyDescent="0.25">
      <c r="B20" s="103" t="s">
        <v>299</v>
      </c>
      <c r="C20" s="103" t="s">
        <v>12</v>
      </c>
      <c r="E20" s="104">
        <v>0</v>
      </c>
      <c r="F20" s="105" t="e">
        <f t="shared" ca="1" si="5"/>
        <v>#N/A</v>
      </c>
      <c r="G20" s="105"/>
      <c r="H20" s="108"/>
      <c r="I20" s="104">
        <f>IF(E69&gt;I69,(E69-I69)*E125,0)</f>
        <v>1068.7903123960398</v>
      </c>
      <c r="J20" s="105" t="str">
        <f ca="1">_xlfn.FORMULATEXT(I20)</f>
        <v>=IF(E69&gt;I69,(E69-I69)*E125,0)</v>
      </c>
      <c r="K20" s="108"/>
      <c r="L20" s="108"/>
      <c r="M20" s="108"/>
      <c r="N20" s="108"/>
      <c r="O20" s="108"/>
    </row>
    <row r="21" spans="2:15" s="103" customFormat="1" x14ac:dyDescent="0.25">
      <c r="B21" s="103" t="s">
        <v>300</v>
      </c>
      <c r="C21" s="103" t="s">
        <v>12</v>
      </c>
      <c r="E21" s="104">
        <v>0</v>
      </c>
      <c r="F21" s="105" t="e">
        <f t="shared" ca="1" si="5"/>
        <v>#N/A</v>
      </c>
      <c r="G21" s="105"/>
      <c r="H21" s="108"/>
      <c r="I21" s="104">
        <f>IF(E70&gt;I70,(E70-I70)*E126,0)</f>
        <v>423.80362564236106</v>
      </c>
      <c r="J21" s="105" t="str">
        <f ca="1">_xlfn.FORMULATEXT(I21)</f>
        <v>=IF(E70&gt;I70,(E70-I70)*E126,0)</v>
      </c>
      <c r="K21" s="108"/>
      <c r="L21" s="108"/>
      <c r="M21" s="108"/>
      <c r="N21" s="108"/>
      <c r="O21" s="108"/>
    </row>
    <row r="22" spans="2:15" x14ac:dyDescent="0.25">
      <c r="B22" s="1" t="s">
        <v>525</v>
      </c>
      <c r="C22" s="1" t="s">
        <v>12</v>
      </c>
      <c r="E22" s="12">
        <f>'Sheep parameter'!C27</f>
        <v>0</v>
      </c>
      <c r="F22" s="105" t="str">
        <f t="shared" ca="1" si="5"/>
        <v>='Sheep parameter'!C27</v>
      </c>
      <c r="G22" s="17"/>
      <c r="H22" s="16"/>
      <c r="I22" s="12">
        <f>E22</f>
        <v>0</v>
      </c>
      <c r="J22" s="105" t="str">
        <f t="shared" ref="J22" ca="1" si="6">_xlfn.FORMULATEXT(I22)</f>
        <v>=E22</v>
      </c>
      <c r="K22" s="3"/>
      <c r="M22" s="3"/>
    </row>
    <row r="23" spans="2:15" x14ac:dyDescent="0.25">
      <c r="E23" s="3"/>
      <c r="F23" s="17"/>
      <c r="G23" s="17"/>
      <c r="H23" s="16"/>
      <c r="I23" s="3"/>
      <c r="K23" s="3"/>
      <c r="M23" s="3"/>
    </row>
    <row r="24" spans="2:15" x14ac:dyDescent="0.25">
      <c r="B24" s="1" t="s">
        <v>531</v>
      </c>
      <c r="C24" s="1" t="s">
        <v>12</v>
      </c>
      <c r="E24" s="12">
        <f>SUM(E25:E28)</f>
        <v>30173.608999999997</v>
      </c>
      <c r="F24" s="17" t="str">
        <f t="shared" ref="F24:F29" ca="1" si="7">_xlfn.FORMULATEXT(E24)</f>
        <v>=SUM(E25:E28)</v>
      </c>
      <c r="G24" s="112">
        <f>(E24-'Sheep parameter'!C30)/'Sheep parameter'!C30</f>
        <v>0.32015158270173871</v>
      </c>
      <c r="H24" s="16"/>
      <c r="I24" s="12">
        <f>SUM(I25:I28)</f>
        <v>30019.193217210748</v>
      </c>
      <c r="J24" s="17" t="str">
        <f t="shared" ref="J24:J29" ca="1" si="8">_xlfn.FORMULATEXT(I24)</f>
        <v>=SUM(I25:I28)</v>
      </c>
      <c r="K24" s="16"/>
      <c r="L24" s="16"/>
      <c r="M24" s="16"/>
      <c r="N24" s="16"/>
      <c r="O24" s="16"/>
    </row>
    <row r="25" spans="2:15" x14ac:dyDescent="0.25">
      <c r="B25" s="1" t="s">
        <v>186</v>
      </c>
      <c r="C25" s="1" t="s">
        <v>12</v>
      </c>
      <c r="E25" s="12">
        <f>E65*E131</f>
        <v>10832.988999999998</v>
      </c>
      <c r="F25" s="17" t="str">
        <f t="shared" ca="1" si="7"/>
        <v>=E65*E131</v>
      </c>
      <c r="G25" s="17"/>
      <c r="H25" s="16"/>
      <c r="I25" s="12">
        <f>I65*I131</f>
        <v>10757.392113768428</v>
      </c>
      <c r="J25" s="17" t="str">
        <f t="shared" ca="1" si="8"/>
        <v>=I65*I131</v>
      </c>
      <c r="K25" s="16"/>
      <c r="L25" s="16"/>
      <c r="M25" s="16"/>
      <c r="N25" s="16"/>
      <c r="O25" s="16"/>
    </row>
    <row r="26" spans="2:15" x14ac:dyDescent="0.25">
      <c r="B26" s="1" t="s">
        <v>8</v>
      </c>
      <c r="C26" s="1" t="s">
        <v>12</v>
      </c>
      <c r="E26" s="12">
        <f>E65*E141</f>
        <v>4911.58</v>
      </c>
      <c r="F26" s="17" t="str">
        <f t="shared" ca="1" si="7"/>
        <v>=E65*E141</v>
      </c>
      <c r="G26" s="17"/>
      <c r="H26" s="16"/>
      <c r="I26" s="12">
        <f>I65*I141</f>
        <v>4877.3050501706175</v>
      </c>
      <c r="J26" s="17" t="str">
        <f t="shared" ca="1" si="8"/>
        <v>=I65*I141</v>
      </c>
      <c r="K26" s="16"/>
      <c r="L26" s="16"/>
      <c r="M26" s="16"/>
      <c r="N26" s="16"/>
      <c r="O26" s="16"/>
    </row>
    <row r="27" spans="2:15" x14ac:dyDescent="0.25">
      <c r="B27" s="1" t="s">
        <v>19</v>
      </c>
      <c r="C27" s="1" t="s">
        <v>12</v>
      </c>
      <c r="E27" s="12">
        <f>E65*E137</f>
        <v>4931.96</v>
      </c>
      <c r="F27" s="17" t="str">
        <f t="shared" ca="1" si="7"/>
        <v>=E65*E137</v>
      </c>
      <c r="G27" s="17"/>
      <c r="H27" s="16"/>
      <c r="I27" s="12">
        <f>I65*I137+(SUM(M33:M35,M38:M40)*M138)</f>
        <v>4953.6904375890954</v>
      </c>
      <c r="J27" s="17" t="str">
        <f t="shared" ca="1" si="8"/>
        <v>=I65*I137+(SUM(M33:M35,M38:M40)*M138)</v>
      </c>
      <c r="K27" s="16"/>
      <c r="L27" s="16"/>
      <c r="M27" s="16"/>
      <c r="N27" s="16"/>
      <c r="O27" s="16"/>
    </row>
    <row r="28" spans="2:15" x14ac:dyDescent="0.25">
      <c r="B28" s="1" t="s">
        <v>11</v>
      </c>
      <c r="C28" s="1" t="s">
        <v>12</v>
      </c>
      <c r="E28" s="12">
        <f>E65*E134</f>
        <v>9497.08</v>
      </c>
      <c r="F28" s="17" t="str">
        <f t="shared" ca="1" si="7"/>
        <v>=E65*E134</v>
      </c>
      <c r="G28" s="17"/>
      <c r="H28" s="16"/>
      <c r="I28" s="12">
        <f>I65*I134</f>
        <v>9430.8056156826042</v>
      </c>
      <c r="J28" s="17" t="str">
        <f t="shared" ca="1" si="8"/>
        <v>=I65*I134</v>
      </c>
      <c r="K28" s="16"/>
      <c r="L28" s="16"/>
      <c r="M28" s="16"/>
      <c r="N28" s="16"/>
      <c r="O28" s="16"/>
    </row>
    <row r="29" spans="2:15" x14ac:dyDescent="0.25">
      <c r="B29" s="1" t="s">
        <v>70</v>
      </c>
      <c r="C29" s="1" t="s">
        <v>12</v>
      </c>
      <c r="E29" s="12">
        <f>'Sheep parameter'!C23</f>
        <v>0</v>
      </c>
      <c r="F29" s="17" t="str">
        <f t="shared" ca="1" si="7"/>
        <v>='Sheep parameter'!C23</v>
      </c>
      <c r="G29" s="17"/>
      <c r="H29" s="16"/>
      <c r="I29" s="12">
        <f>E29</f>
        <v>0</v>
      </c>
      <c r="J29" s="17" t="str">
        <f t="shared" ca="1" si="8"/>
        <v>=E29</v>
      </c>
      <c r="K29" s="16"/>
      <c r="L29" s="16"/>
      <c r="M29" s="16"/>
      <c r="N29" s="16"/>
      <c r="O29" s="16"/>
    </row>
    <row r="30" spans="2:15" x14ac:dyDescent="0.25">
      <c r="E30" s="4"/>
      <c r="F30" s="4"/>
      <c r="G30" s="4"/>
      <c r="H30" s="16"/>
      <c r="I30" s="4"/>
      <c r="K30" s="4"/>
      <c r="L30" s="17"/>
      <c r="M30" s="4"/>
      <c r="N30" s="17"/>
    </row>
    <row r="31" spans="2:15" x14ac:dyDescent="0.25">
      <c r="B31" s="55" t="s">
        <v>120</v>
      </c>
      <c r="C31" s="56"/>
      <c r="D31" s="56"/>
      <c r="E31" s="56"/>
      <c r="F31" s="57"/>
      <c r="G31" s="57"/>
      <c r="H31" s="56"/>
      <c r="I31" s="56"/>
      <c r="J31" s="56"/>
      <c r="K31" s="56"/>
      <c r="L31" s="56"/>
      <c r="M31" s="56"/>
      <c r="N31" s="56"/>
    </row>
    <row r="32" spans="2:15" x14ac:dyDescent="0.25">
      <c r="B32" s="2"/>
      <c r="F32" s="11"/>
      <c r="G32" s="11"/>
      <c r="H32" s="16"/>
      <c r="L32" s="17"/>
      <c r="N32" s="17"/>
    </row>
    <row r="33" spans="2:14" x14ac:dyDescent="0.25">
      <c r="B33" s="1" t="s">
        <v>161</v>
      </c>
      <c r="E33" s="14">
        <f>'Sheep parameter'!C3</f>
        <v>787</v>
      </c>
      <c r="F33" s="17" t="str">
        <f ca="1">_xlfn.FORMULATEXT(E33)</f>
        <v>='Sheep parameter'!C3</v>
      </c>
      <c r="G33" s="17"/>
      <c r="H33" s="16"/>
      <c r="I33" s="14">
        <f>K33+M33</f>
        <v>787</v>
      </c>
      <c r="J33" s="17" t="str">
        <f ca="1">_xlfn.FORMULATEXT(I33)</f>
        <v>=K33+M33</v>
      </c>
      <c r="K33" s="42">
        <f>E33*(1-'Partial Budget'!I10/100)</f>
        <v>727.97500000000002</v>
      </c>
      <c r="L33" s="17" t="str">
        <f ca="1">_xlfn.FORMULATEXT(K33)</f>
        <v>=E33*(1-'Partial Budget'!I10/100)</v>
      </c>
      <c r="M33" s="42">
        <f>E33*'Partial Budget'!$I$10/100</f>
        <v>59.024999999999999</v>
      </c>
      <c r="N33" s="17" t="str">
        <f ca="1">_xlfn.FORMULATEXT(M33)</f>
        <v>=E33*'Partial Budget'!$I$10/100</v>
      </c>
    </row>
    <row r="34" spans="2:14" x14ac:dyDescent="0.25">
      <c r="B34" s="1" t="s">
        <v>162</v>
      </c>
      <c r="C34" s="77"/>
      <c r="E34" s="14">
        <f>('Sheep parameter'!C2-('Sheep GM'!E33*E80))/E81</f>
        <v>331.42857142857144</v>
      </c>
      <c r="F34" s="17" t="str">
        <f ca="1">_xlfn.FORMULATEXT(E34)</f>
        <v>=('Sheep parameter'!C2-('Sheep GM'!E33*E80))/E81</v>
      </c>
      <c r="G34" s="17"/>
      <c r="H34" s="16"/>
      <c r="I34" s="14">
        <f>K34+M34</f>
        <v>331.42857142857144</v>
      </c>
      <c r="J34" s="17" t="str">
        <f ca="1">_xlfn.FORMULATEXT(I34)</f>
        <v>=K34+M34</v>
      </c>
      <c r="K34" s="42">
        <f>E34*(1-'Partial Budget'!$I$10/100)</f>
        <v>306.57142857142861</v>
      </c>
      <c r="L34" s="17" t="str">
        <f ca="1">_xlfn.FORMULATEXT(K34)</f>
        <v>=E34*(1-'Partial Budget'!$I$10/100)</v>
      </c>
      <c r="M34" s="42">
        <f>E34*'Partial Budget'!$I$10/100</f>
        <v>24.857142857142858</v>
      </c>
      <c r="N34" s="17" t="str">
        <f ca="1">_xlfn.FORMULATEXT(M34)</f>
        <v>=E34*'Partial Budget'!$I$10/100</v>
      </c>
    </row>
    <row r="35" spans="2:14" x14ac:dyDescent="0.25">
      <c r="B35" s="1" t="s">
        <v>179</v>
      </c>
      <c r="C35" s="77"/>
      <c r="E35" s="114">
        <f>'Sheep parameter'!C4</f>
        <v>1161</v>
      </c>
      <c r="F35" s="17" t="str">
        <f ca="1">_xlfn.FORMULATEXT(E35)</f>
        <v>='Sheep parameter'!C4</v>
      </c>
      <c r="G35" s="17"/>
      <c r="H35" s="16"/>
      <c r="I35" s="14">
        <f>K35+M35</f>
        <v>1158.3877500000001</v>
      </c>
      <c r="J35" s="17" t="str">
        <f ca="1">_xlfn.FORMULATEXT(I35)</f>
        <v>=K35+M35</v>
      </c>
      <c r="K35" s="42">
        <f>((K33*K89 )+ (K110*K90)) *(1-'Partial Budget'!I10/100)</f>
        <v>993.38062500000001</v>
      </c>
      <c r="L35" s="17" t="str">
        <f ca="1">_xlfn.FORMULATEXT(K35)</f>
        <v>=((K33*K89 )+ (K110*K90)) *(1-'Partial Budget'!I10/100)</v>
      </c>
      <c r="M35" s="42">
        <f>(M33*M89)+ (M110*M90)+ ((K33*K89 )+ (K110*K90))*'Partial Budget'!I10/100</f>
        <v>165.007125</v>
      </c>
      <c r="N35" s="17" t="str">
        <f ca="1">_xlfn.FORMULATEXT(M35)</f>
        <v>=(M33*M89)+ (M110*M90)+ ((K33*K89 )+ (K110*K90))*'Partial Budget'!I10/100</v>
      </c>
    </row>
    <row r="36" spans="2:14" x14ac:dyDescent="0.25">
      <c r="E36" s="5"/>
      <c r="F36" s="17"/>
      <c r="G36" s="17"/>
      <c r="H36" s="16"/>
      <c r="I36" s="5"/>
      <c r="K36" s="5"/>
      <c r="L36" s="17"/>
      <c r="M36" s="5"/>
      <c r="N36" s="17"/>
    </row>
    <row r="37" spans="2:14" x14ac:dyDescent="0.25">
      <c r="B37" s="2" t="s">
        <v>499</v>
      </c>
      <c r="E37" s="115"/>
      <c r="F37" s="17"/>
      <c r="G37" s="17"/>
      <c r="H37" s="16"/>
      <c r="I37" s="7"/>
      <c r="K37" s="7"/>
      <c r="L37" s="17"/>
      <c r="M37" s="7"/>
      <c r="N37" s="17"/>
    </row>
    <row r="38" spans="2:14" x14ac:dyDescent="0.25">
      <c r="B38" s="1" t="s">
        <v>503</v>
      </c>
      <c r="C38" s="1" t="s">
        <v>34</v>
      </c>
      <c r="E38" s="14">
        <f>IF(E100&lt;0,-E100,0)</f>
        <v>0</v>
      </c>
      <c r="F38" s="17" t="str">
        <f ca="1">_xlfn.FORMULATEXT(E38)</f>
        <v>=IF(E100&lt;0,-E100,0)</v>
      </c>
      <c r="G38" s="17"/>
      <c r="H38" s="16"/>
      <c r="I38" s="14">
        <f>IF(I100&lt;0,-I100,0)</f>
        <v>0</v>
      </c>
      <c r="J38" s="17" t="str">
        <f ca="1">_xlfn.FORMULATEXT(I38)</f>
        <v>=IF(I100&lt;0,-I100,0)</v>
      </c>
      <c r="K38" s="42">
        <f>I38*(1-'Partial Budget'!$I$10/100)</f>
        <v>0</v>
      </c>
      <c r="L38" s="17" t="str">
        <f ca="1">_xlfn.FORMULATEXT(K38)</f>
        <v>=I38*(1-'Partial Budget'!$I$10/100)</v>
      </c>
      <c r="M38" s="42">
        <f>I38*'Partial Budget'!$I$10/100</f>
        <v>0</v>
      </c>
      <c r="N38" s="17" t="str">
        <f ca="1">_xlfn.FORMULATEXT(M38)</f>
        <v>=I38*'Partial Budget'!$I$10/100</v>
      </c>
    </row>
    <row r="39" spans="2:14" x14ac:dyDescent="0.25">
      <c r="B39" s="1" t="s">
        <v>504</v>
      </c>
      <c r="C39" s="1" t="s">
        <v>34</v>
      </c>
      <c r="E39" s="14">
        <f>IF(E103&lt;0,-E103,0)</f>
        <v>402.83289512123872</v>
      </c>
      <c r="F39" s="17" t="str">
        <f ca="1">_xlfn.FORMULATEXT(E39)</f>
        <v>=IF(E103&lt;0,-E103,0)</v>
      </c>
      <c r="G39" s="17"/>
      <c r="H39" s="16"/>
      <c r="I39" s="14">
        <f>IF(I103&lt;0,-I103,0)</f>
        <v>405.44514512123862</v>
      </c>
      <c r="J39" s="17" t="str">
        <f ca="1">_xlfn.FORMULATEXT(I39)</f>
        <v>=IF(I103&lt;0,-I103,0)</v>
      </c>
      <c r="K39" s="120">
        <f>I39*(1-'Partial Budget'!$I$10/100)</f>
        <v>375.03675923714576</v>
      </c>
      <c r="L39" s="17" t="str">
        <f ca="1">_xlfn.FORMULATEXT(K39)</f>
        <v>=I39*(1-'Partial Budget'!$I$10/100)</v>
      </c>
      <c r="M39" s="42">
        <f>I39*'Partial Budget'!$I$10/100</f>
        <v>30.408385884092894</v>
      </c>
      <c r="N39" s="17" t="str">
        <f ca="1">_xlfn.FORMULATEXT(M39)</f>
        <v>=I39*'Partial Budget'!$I$10/100</v>
      </c>
    </row>
    <row r="40" spans="2:14" x14ac:dyDescent="0.25">
      <c r="B40" s="1" t="s">
        <v>112</v>
      </c>
      <c r="C40" s="1" t="s">
        <v>34</v>
      </c>
      <c r="E40" s="20">
        <f>IF(E113&lt;=0,-E113,0)</f>
        <v>19.205091937765189</v>
      </c>
      <c r="F40" s="17" t="str">
        <f ca="1">_xlfn.FORMULATEXT(E40)</f>
        <v>=IF(E113&lt;=0,-E113,0)</v>
      </c>
      <c r="G40" s="17"/>
      <c r="H40" s="16"/>
      <c r="I40" s="20">
        <f>IF(I113&lt;=0,-I113,0)</f>
        <v>19.205091937765189</v>
      </c>
      <c r="J40" s="17" t="str">
        <f ca="1">_xlfn.FORMULATEXT(I40)</f>
        <v>=IF(I113&lt;=0,-I113,0)</v>
      </c>
      <c r="K40" s="42">
        <f>I40*(1-'Partial Budget'!$I$10/100)</f>
        <v>17.764710042432799</v>
      </c>
      <c r="L40" s="17" t="str">
        <f ca="1">_xlfn.FORMULATEXT(K40)</f>
        <v>=I40*(1-'Partial Budget'!$I$10/100)</v>
      </c>
      <c r="M40" s="42">
        <f>I40*'Partial Budget'!$I$10/100</f>
        <v>1.4403818953323893</v>
      </c>
      <c r="N40" s="17" t="str">
        <f ca="1">_xlfn.FORMULATEXT(M40)</f>
        <v>=I40*'Partial Budget'!$I$10/100</v>
      </c>
    </row>
    <row r="41" spans="2:14" x14ac:dyDescent="0.25">
      <c r="B41" s="1" t="s">
        <v>172</v>
      </c>
      <c r="C41" s="1" t="s">
        <v>34</v>
      </c>
      <c r="E41" s="14">
        <f>(E33+E110)/E95</f>
        <v>9.0985714285714288</v>
      </c>
      <c r="F41" s="17" t="str">
        <f ca="1">_xlfn.FORMULATEXT(E41)</f>
        <v>=(E33+E110)/E95</v>
      </c>
      <c r="G41" s="17"/>
      <c r="H41" s="16"/>
      <c r="I41" s="14">
        <f>(I33+I110)/I95</f>
        <v>9.0985714285714288</v>
      </c>
      <c r="J41" s="17" t="str">
        <f ca="1">_xlfn.FORMULATEXT(I41)</f>
        <v>=(I33+I110)/I95</v>
      </c>
      <c r="K41" s="42">
        <f>I41*(1-'Partial Budget'!$I$10/100)</f>
        <v>8.4161785714285724</v>
      </c>
      <c r="L41" s="17" t="str">
        <f ca="1">_xlfn.FORMULATEXT(K41)</f>
        <v>=I41*(1-'Partial Budget'!$I$10/100)</v>
      </c>
      <c r="M41" s="42">
        <f>I41*'Partial Budget'!$I$10/100</f>
        <v>0.68239285714285713</v>
      </c>
      <c r="N41" s="17" t="str">
        <f ca="1">_xlfn.FORMULATEXT(M41)</f>
        <v>=I41*'Partial Budget'!$I$10/100</v>
      </c>
    </row>
    <row r="42" spans="2:14" x14ac:dyDescent="0.25">
      <c r="E42" s="17"/>
      <c r="F42" s="17"/>
      <c r="G42" s="17"/>
      <c r="H42" s="16"/>
      <c r="I42" s="6"/>
      <c r="K42" s="6"/>
      <c r="L42" s="6"/>
      <c r="M42" s="6"/>
      <c r="N42" s="6"/>
    </row>
    <row r="43" spans="2:14" x14ac:dyDescent="0.25">
      <c r="B43" s="2" t="s">
        <v>514</v>
      </c>
      <c r="E43" s="17"/>
      <c r="F43" s="17"/>
      <c r="G43" s="17"/>
      <c r="H43" s="16"/>
      <c r="I43" s="6"/>
      <c r="K43" s="6"/>
      <c r="L43" s="6"/>
      <c r="M43" s="6"/>
      <c r="N43" s="6"/>
    </row>
    <row r="44" spans="2:14" x14ac:dyDescent="0.25">
      <c r="B44" s="1" t="s">
        <v>503</v>
      </c>
      <c r="E44" s="20">
        <f>E101+E38</f>
        <v>338.88401986561496</v>
      </c>
      <c r="F44" s="17" t="str">
        <f ca="1">_xlfn.FORMULATEXT(E44)</f>
        <v>=E101+E38</v>
      </c>
      <c r="G44" s="17"/>
      <c r="H44" s="16"/>
      <c r="I44" s="20">
        <f>I101+I38</f>
        <v>338.88401986561496</v>
      </c>
      <c r="J44" s="17" t="str">
        <f ca="1">_xlfn.FORMULATEXT(I44)</f>
        <v>=I101+I38</v>
      </c>
      <c r="K44" s="42">
        <f>K101+K38</f>
        <v>290.61151540718294</v>
      </c>
      <c r="L44" s="17" t="str">
        <f ca="1">_xlfn.FORMULATEXT(K44)</f>
        <v>=K101+K38</v>
      </c>
      <c r="M44" s="42">
        <f>M101+M38</f>
        <v>48.272504458432024</v>
      </c>
      <c r="N44" s="17" t="str">
        <f ca="1">_xlfn.FORMULATEXT(M44)</f>
        <v>=M101+M38</v>
      </c>
    </row>
    <row r="45" spans="2:14" x14ac:dyDescent="0.25">
      <c r="B45" s="1" t="s">
        <v>504</v>
      </c>
      <c r="E45" s="14">
        <f>E39+E98+IF(E100&gt;0,E100,0)</f>
        <v>1224.9488752556238</v>
      </c>
      <c r="F45" s="17" t="str">
        <f ca="1">_xlfn.FORMULATEXT(E45)</f>
        <v>=E39+E98+IF(E100&gt;0,E100,0)</v>
      </c>
      <c r="G45" s="17"/>
      <c r="H45" s="16"/>
      <c r="I45" s="121">
        <f>I39+I98+IF(I100&gt;0,I100,0)</f>
        <v>1224.9488752556238</v>
      </c>
      <c r="J45" s="17" t="str">
        <f ca="1">_xlfn.FORMULATEXT(I45)</f>
        <v>=I39+I98+IF(I100&gt;0,I100,0)</v>
      </c>
      <c r="K45" s="120">
        <f>K39+K98+IF(K100&gt;0,K100,0)</f>
        <v>1077.8058688299627</v>
      </c>
      <c r="L45" s="17" t="str">
        <f ca="1">_xlfn.FORMULATEXT(K45)</f>
        <v>=K39+K98+IF(K100&gt;0,K100,0)</v>
      </c>
      <c r="M45" s="120">
        <f>M39+M98+IF(M100&gt;0,M100,0)</f>
        <v>147.14300642566101</v>
      </c>
      <c r="N45" s="17" t="str">
        <f ca="1">_xlfn.FORMULATEXT(M45)</f>
        <v>=M39+M98+IF(M100&gt;0,M100,0)</v>
      </c>
    </row>
    <row r="46" spans="2:14" x14ac:dyDescent="0.25">
      <c r="E46" s="17"/>
      <c r="F46" s="17"/>
      <c r="G46" s="17"/>
      <c r="H46" s="16"/>
      <c r="I46" s="6"/>
      <c r="K46" s="6"/>
      <c r="L46" s="6"/>
      <c r="M46" s="6"/>
      <c r="N46" s="6"/>
    </row>
    <row r="47" spans="2:14" x14ac:dyDescent="0.25">
      <c r="B47" s="2" t="s">
        <v>103</v>
      </c>
      <c r="E47" s="5"/>
      <c r="F47" s="17"/>
      <c r="G47" s="17"/>
      <c r="H47" s="16"/>
      <c r="I47" s="5"/>
      <c r="K47" s="5"/>
      <c r="L47" s="17"/>
      <c r="M47" s="5"/>
      <c r="N47" s="17"/>
    </row>
    <row r="48" spans="2:14" x14ac:dyDescent="0.25">
      <c r="B48" s="1" t="s">
        <v>164</v>
      </c>
      <c r="C48" s="1" t="s">
        <v>34</v>
      </c>
      <c r="E48" s="14">
        <f>E33*E84</f>
        <v>46.433</v>
      </c>
      <c r="F48" s="17" t="str">
        <f ca="1">_xlfn.FORMULATEXT(E48)</f>
        <v>=E33*E84</v>
      </c>
      <c r="G48" s="17"/>
      <c r="H48" s="16"/>
      <c r="I48" s="14">
        <f>K48+M48</f>
        <v>49.266200000000005</v>
      </c>
      <c r="J48" s="17" t="str">
        <f ca="1">_xlfn.FORMULATEXT(I48)</f>
        <v>=K48+M48</v>
      </c>
      <c r="K48" s="43">
        <f>K33*K84</f>
        <v>42.950525000000006</v>
      </c>
      <c r="L48" s="17" t="str">
        <f ca="1">_xlfn.FORMULATEXT(K48)</f>
        <v>=K33*K84</v>
      </c>
      <c r="M48" s="43">
        <f>M33*M84</f>
        <v>6.3156750000000006</v>
      </c>
      <c r="N48" s="17" t="str">
        <f ca="1">_xlfn.FORMULATEXT(M48)</f>
        <v>=M33*M84</v>
      </c>
    </row>
    <row r="49" spans="2:14" x14ac:dyDescent="0.25">
      <c r="B49" s="1" t="s">
        <v>112</v>
      </c>
      <c r="C49" s="1" t="s">
        <v>34</v>
      </c>
      <c r="E49" s="14">
        <f>(E34+E40)*E85</f>
        <v>14.200663366336634</v>
      </c>
      <c r="F49" s="17" t="str">
        <f ca="1">_xlfn.FORMULATEXT(E49)</f>
        <v>=(E34+E40)*E85</v>
      </c>
      <c r="G49" s="17"/>
      <c r="H49" s="16"/>
      <c r="I49" s="14">
        <f>K49+M49</f>
        <v>15.462944554455447</v>
      </c>
      <c r="J49" s="17" t="str">
        <f ca="1">_xlfn.FORMULATEXT(I49)</f>
        <v>=K49+M49</v>
      </c>
      <c r="K49" s="43">
        <f>(K34+K40)*K85</f>
        <v>13.135613613861388</v>
      </c>
      <c r="L49" s="17" t="str">
        <f ca="1">_xlfn.FORMULATEXT(K49)</f>
        <v>=(K34+K40)*K85</v>
      </c>
      <c r="M49" s="43">
        <f>(M34+M40)*M85</f>
        <v>2.3273309405940594</v>
      </c>
      <c r="N49" s="17" t="str">
        <f ca="1">_xlfn.FORMULATEXT(M49)</f>
        <v>=(M34+M40)*M85</v>
      </c>
    </row>
    <row r="50" spans="2:14" x14ac:dyDescent="0.25">
      <c r="B50" s="1" t="s">
        <v>517</v>
      </c>
      <c r="C50" s="1" t="s">
        <v>34</v>
      </c>
      <c r="E50" s="116">
        <f>E44*E86</f>
        <v>7.4554484370435299</v>
      </c>
      <c r="F50" s="17" t="str">
        <f ca="1">_xlfn.FORMULATEXT(E50)</f>
        <v>=E44*E86</v>
      </c>
      <c r="G50" s="17"/>
      <c r="H50" s="16"/>
      <c r="I50" s="14">
        <f>K50+M50</f>
        <v>10.834523749133773</v>
      </c>
      <c r="J50" s="17" t="str">
        <f ca="1">_xlfn.FORMULATEXT(I50)</f>
        <v>=K50+M50</v>
      </c>
      <c r="K50" s="43">
        <f>K44*K86</f>
        <v>6.3934533389580253</v>
      </c>
      <c r="L50" s="17" t="str">
        <f ca="1">_xlfn.FORMULATEXT(K50)</f>
        <v>=K44*K86</v>
      </c>
      <c r="M50" s="43">
        <f>M44*M86</f>
        <v>4.4410704101757466</v>
      </c>
      <c r="N50" s="17" t="str">
        <f ca="1">_xlfn.FORMULATEXT(M50)</f>
        <v>=M44*M86</v>
      </c>
    </row>
    <row r="51" spans="2:14" x14ac:dyDescent="0.25">
      <c r="B51" s="1" t="s">
        <v>518</v>
      </c>
      <c r="C51" s="1" t="s">
        <v>34</v>
      </c>
      <c r="E51" s="117">
        <f>E45*E86</f>
        <v>26.948875255623726</v>
      </c>
      <c r="F51" s="17" t="str">
        <f ca="1">_xlfn.FORMULATEXT(E51)</f>
        <v>=E45*E86</v>
      </c>
      <c r="G51" s="17"/>
      <c r="H51" s="16"/>
      <c r="I51" s="14">
        <f>K51+M51</f>
        <v>37.248885705419994</v>
      </c>
      <c r="J51" s="17" t="str">
        <f ca="1">_xlfn.FORMULATEXT(I51)</f>
        <v>=K51+M51</v>
      </c>
      <c r="K51" s="43">
        <f>K45*K86</f>
        <v>23.711729114259182</v>
      </c>
      <c r="L51" s="17" t="str">
        <f ca="1">_xlfn.FORMULATEXT(K51)</f>
        <v>=K45*K86</v>
      </c>
      <c r="M51" s="43">
        <f>M45*M86</f>
        <v>13.537156591160816</v>
      </c>
      <c r="N51" s="17" t="str">
        <f ca="1">_xlfn.FORMULATEXT(M51)</f>
        <v>=M45*M86</v>
      </c>
    </row>
    <row r="52" spans="2:14" x14ac:dyDescent="0.25">
      <c r="E52" s="7"/>
      <c r="F52" s="17"/>
      <c r="G52" s="17"/>
      <c r="H52" s="16"/>
      <c r="I52" s="7"/>
      <c r="K52" s="7"/>
      <c r="L52" s="17"/>
      <c r="M52" s="7"/>
      <c r="N52" s="17"/>
    </row>
    <row r="53" spans="2:14" x14ac:dyDescent="0.25">
      <c r="B53" s="2" t="s">
        <v>181</v>
      </c>
      <c r="E53" s="33"/>
      <c r="F53" s="17"/>
      <c r="G53" s="17"/>
      <c r="H53" s="16"/>
      <c r="I53" s="17"/>
      <c r="J53" s="17"/>
      <c r="K53" s="17"/>
      <c r="L53" s="17"/>
      <c r="M53" s="17"/>
      <c r="N53" s="17"/>
    </row>
    <row r="54" spans="2:14" x14ac:dyDescent="0.25">
      <c r="B54" s="1" t="s">
        <v>113</v>
      </c>
      <c r="C54" s="1" t="s">
        <v>34</v>
      </c>
      <c r="E54" s="114">
        <f>'Sheep parameter'!C29</f>
        <v>458</v>
      </c>
      <c r="F54" s="17" t="str">
        <f ca="1">_xlfn.FORMULATEXT(E54)</f>
        <v>='Sheep parameter'!C29</v>
      </c>
      <c r="G54" s="17"/>
      <c r="H54" s="16"/>
      <c r="I54" s="20">
        <f>K54+M54</f>
        <v>454.06226645575401</v>
      </c>
      <c r="J54" s="17" t="str">
        <f ca="1">_xlfn.FORMULATEXT(I54)</f>
        <v>=K54+M54</v>
      </c>
      <c r="K54" s="44">
        <f>K45*(1-K86)*(1-K104)</f>
        <v>402.98423705324893</v>
      </c>
      <c r="L54" s="17" t="str">
        <f ca="1">_xlfn.FORMULATEXT(K54)</f>
        <v>=K45*(1-K86)*(1-K104)</v>
      </c>
      <c r="M54" s="44">
        <f>M45*(1-M86)*(1-M104)</f>
        <v>51.078029402505088</v>
      </c>
      <c r="N54" s="17" t="str">
        <f ca="1">_xlfn.FORMULATEXT(M54)</f>
        <v>=M45*(1-M86)*(1-M104)</v>
      </c>
    </row>
    <row r="55" spans="2:14" x14ac:dyDescent="0.25">
      <c r="E55" s="7"/>
      <c r="F55" s="17"/>
      <c r="G55" s="17"/>
      <c r="H55" s="16"/>
      <c r="I55" s="7"/>
      <c r="K55" s="7"/>
      <c r="L55" s="17"/>
      <c r="M55" s="7"/>
      <c r="N55" s="17"/>
    </row>
    <row r="56" spans="2:14" x14ac:dyDescent="0.25">
      <c r="B56" s="2" t="s">
        <v>182</v>
      </c>
      <c r="E56" s="17"/>
      <c r="F56" s="17"/>
      <c r="G56" s="17"/>
      <c r="H56" s="16"/>
      <c r="I56" s="6"/>
      <c r="K56" s="6"/>
      <c r="L56" s="6"/>
      <c r="M56" s="6"/>
      <c r="N56" s="6"/>
    </row>
    <row r="57" spans="2:14" x14ac:dyDescent="0.25">
      <c r="B57" s="1" t="s">
        <v>164</v>
      </c>
      <c r="C57" s="1" t="s">
        <v>34</v>
      </c>
      <c r="E57" s="14">
        <f>'Sheep parameter'!C17</f>
        <v>138</v>
      </c>
      <c r="F57" s="17" t="str">
        <f ca="1">_xlfn.FORMULATEXT(E57)</f>
        <v>='Sheep parameter'!C17</v>
      </c>
      <c r="G57" s="17"/>
      <c r="H57" s="16"/>
      <c r="I57" s="20">
        <f>K57+M57</f>
        <v>149.80500000000001</v>
      </c>
      <c r="J57" s="17" t="str">
        <f ca="1">_xlfn.FORMULATEXT(I57)</f>
        <v>=K57+M57</v>
      </c>
      <c r="K57" s="44">
        <f>K33*K107</f>
        <v>127.65</v>
      </c>
      <c r="L57" s="17" t="str">
        <f ca="1">_xlfn.FORMULATEXT(K57)</f>
        <v>=K33*K107</v>
      </c>
      <c r="M57" s="44">
        <f>M33*M107</f>
        <v>22.155000000000001</v>
      </c>
      <c r="N57" s="17" t="str">
        <f ca="1">_xlfn.FORMULATEXT(M57)</f>
        <v>=M33*M107</v>
      </c>
    </row>
    <row r="58" spans="2:14" x14ac:dyDescent="0.25">
      <c r="B58" s="1" t="s">
        <v>112</v>
      </c>
      <c r="C58" s="1" t="s">
        <v>34</v>
      </c>
      <c r="E58" s="14">
        <f>'Sheep parameter'!C15</f>
        <v>152</v>
      </c>
      <c r="F58" s="17" t="str">
        <f ca="1">_xlfn.FORMULATEXT(E58)</f>
        <v>='Sheep parameter'!C15</v>
      </c>
      <c r="G58" s="17"/>
      <c r="H58" s="16"/>
      <c r="I58" s="20">
        <f>K58+M58</f>
        <v>157.25950495049506</v>
      </c>
      <c r="J58" s="17" t="str">
        <f ca="1">_xlfn.FORMULATEXT(I58)</f>
        <v>=K58+M58</v>
      </c>
      <c r="K58" s="44">
        <f>(K34+K40)*K108</f>
        <v>140.60000000000002</v>
      </c>
      <c r="L58" s="17" t="str">
        <f ca="1">_xlfn.FORMULATEXT(K58)</f>
        <v>=(K34+K40)*K108</v>
      </c>
      <c r="M58" s="44">
        <f>(M34+M40)*M108</f>
        <v>16.659504950495048</v>
      </c>
      <c r="N58" s="17" t="str">
        <f ca="1">_xlfn.FORMULATEXT(M58)</f>
        <v>=(M34+M40)*M108</v>
      </c>
    </row>
    <row r="59" spans="2:14" x14ac:dyDescent="0.25">
      <c r="B59" s="1" t="s">
        <v>113</v>
      </c>
      <c r="C59" s="1" t="s">
        <v>34</v>
      </c>
      <c r="E59" s="114">
        <f>'Sheep parameter'!C28</f>
        <v>740</v>
      </c>
      <c r="F59" s="17" t="str">
        <f ca="1">_xlfn.FORMULATEXT(E59)</f>
        <v>='Sheep parameter'!C28</v>
      </c>
      <c r="G59" s="17"/>
      <c r="H59" s="16"/>
      <c r="I59" s="20">
        <f>K59+M59</f>
        <v>733.6377230944496</v>
      </c>
      <c r="J59" s="17" t="str">
        <f ca="1">_xlfn.FORMULATEXT(I59)</f>
        <v>=K59+M59</v>
      </c>
      <c r="K59" s="44">
        <f>K45*(1-K86)*K104</f>
        <v>651.10990266245449</v>
      </c>
      <c r="L59" s="17" t="str">
        <f ca="1">_xlfn.FORMULATEXT(K59)</f>
        <v>=K45*(1-K86)*K104</v>
      </c>
      <c r="M59" s="44">
        <f>M45*(1-M86)*M104</f>
        <v>82.52782043199511</v>
      </c>
      <c r="N59" s="17" t="str">
        <f ca="1">_xlfn.FORMULATEXT(M59)</f>
        <v>=M45*(1-M86)*M104</v>
      </c>
    </row>
    <row r="60" spans="2:14" x14ac:dyDescent="0.25">
      <c r="E60" s="33"/>
      <c r="F60" s="17"/>
      <c r="G60" s="17"/>
      <c r="H60" s="16"/>
      <c r="I60" s="17"/>
      <c r="J60" s="17"/>
      <c r="K60" s="17"/>
      <c r="L60" s="17"/>
      <c r="M60" s="17"/>
      <c r="N60" s="17"/>
    </row>
    <row r="61" spans="2:14" x14ac:dyDescent="0.25">
      <c r="B61" s="2" t="s">
        <v>106</v>
      </c>
      <c r="E61" s="7"/>
      <c r="F61" s="17"/>
      <c r="G61" s="17"/>
      <c r="H61" s="16"/>
      <c r="I61" s="7"/>
      <c r="K61" s="7"/>
      <c r="L61" s="17"/>
      <c r="M61" s="7"/>
      <c r="N61" s="17"/>
    </row>
    <row r="62" spans="2:14" x14ac:dyDescent="0.25">
      <c r="B62" s="1" t="s">
        <v>164</v>
      </c>
      <c r="E62" s="14">
        <f>E33-((E57+E48)/2)</f>
        <v>694.7835</v>
      </c>
      <c r="F62" s="17" t="str">
        <f ca="1">_xlfn.FORMULATEXT(E62)</f>
        <v>=E33-((E57+E48)/2)</v>
      </c>
      <c r="G62" s="17"/>
      <c r="H62" s="16"/>
      <c r="I62" s="14">
        <f>K62+M62</f>
        <v>687.46439999999996</v>
      </c>
      <c r="J62" s="17" t="str">
        <f ca="1">_xlfn.FORMULATEXT(I62)</f>
        <v>=K62+M62</v>
      </c>
      <c r="K62" s="42">
        <f>K33-((K57+K48)/2)</f>
        <v>642.67473749999999</v>
      </c>
      <c r="L62" s="17" t="str">
        <f ca="1">_xlfn.FORMULATEXT(K62)</f>
        <v>=K33-((K57+K48)/2)</v>
      </c>
      <c r="M62" s="42">
        <f>M33-((M57+M48)/2)</f>
        <v>44.789662499999999</v>
      </c>
      <c r="N62" s="17" t="str">
        <f ca="1">_xlfn.FORMULATEXT(M62)</f>
        <v>=M33-((M57+M48)/2)</v>
      </c>
    </row>
    <row r="63" spans="2:14" x14ac:dyDescent="0.25">
      <c r="B63" s="1" t="s">
        <v>112</v>
      </c>
      <c r="E63" s="14">
        <f>E34+E40-((E58+E49)/2)</f>
        <v>267.53333168316829</v>
      </c>
      <c r="F63" s="17" t="str">
        <f ca="1">_xlfn.FORMULATEXT(E63)</f>
        <v>=E34+E40-((E58+E49)/2)</v>
      </c>
      <c r="G63" s="17"/>
      <c r="H63" s="16"/>
      <c r="I63" s="14">
        <f>K63+M63</f>
        <v>264.27243861386142</v>
      </c>
      <c r="J63" s="17" t="str">
        <f ca="1">_xlfn.FORMULATEXT(I63)</f>
        <v>=K63+M63</v>
      </c>
      <c r="K63" s="42">
        <f>K34+K40-((K58+K49)/2)</f>
        <v>247.46833180693071</v>
      </c>
      <c r="L63" s="17" t="str">
        <f ca="1">_xlfn.FORMULATEXT(K63)</f>
        <v>=K34+K40-((K58+K49)/2)</v>
      </c>
      <c r="M63" s="42">
        <f>M34+M40-((M58+M49)/2)</f>
        <v>16.804106806930694</v>
      </c>
      <c r="N63" s="17" t="str">
        <f ca="1">_xlfn.FORMULATEXT(M63)</f>
        <v>=M34+M40-((M58+M49)/2)</v>
      </c>
    </row>
    <row r="64" spans="2:14" x14ac:dyDescent="0.25">
      <c r="B64" s="1" t="s">
        <v>113</v>
      </c>
      <c r="E64" s="14">
        <f>E35+E38+E39-((E59+E50+E51+E54)/2)</f>
        <v>947.6307332749052</v>
      </c>
      <c r="F64" s="17" t="str">
        <f ca="1">_xlfn.FORMULATEXT(E64)</f>
        <v>=E35+E38+E39-((E59+E50+E51+E54)/2)</v>
      </c>
      <c r="G64" s="17"/>
      <c r="H64" s="16"/>
      <c r="I64" s="14">
        <f>K64+M64</f>
        <v>945.94119561886009</v>
      </c>
      <c r="J64" s="17" t="str">
        <f ca="1">_xlfn.FORMULATEXT(I64)</f>
        <v>=K64+M64</v>
      </c>
      <c r="K64" s="42">
        <f>K35+K38+K39-((K59+K50+K51+K54)/2)</f>
        <v>826.31772315268552</v>
      </c>
      <c r="L64" s="17" t="str">
        <f ca="1">_xlfn.FORMULATEXT(K64)</f>
        <v>=K35+K38+K39-((K59+K50+K51+K54)/2)</v>
      </c>
      <c r="M64" s="42">
        <f>M35+M38+M39-((M59+M50+M51+M54)/2)</f>
        <v>119.62347246617452</v>
      </c>
      <c r="N64" s="17" t="str">
        <f ca="1">_xlfn.FORMULATEXT(M64)</f>
        <v>=M35+M38+M39-((M59+M50+M51+M54)/2)</v>
      </c>
    </row>
    <row r="65" spans="2:19" x14ac:dyDescent="0.25">
      <c r="B65" s="1" t="s">
        <v>190</v>
      </c>
      <c r="E65" s="14">
        <f>(E62*E80)+(E63+E64)*E81</f>
        <v>1545.3983454706515</v>
      </c>
      <c r="F65" s="17" t="str">
        <f ca="1">_xlfn.FORMULATEXT(E65)</f>
        <v>=(E62*E80)+(E63+E64)*E81</v>
      </c>
      <c r="G65" s="17"/>
      <c r="H65" s="16"/>
      <c r="I65" s="14">
        <f>(I62*I80)+(I63+I64)*I81</f>
        <v>1534.6139439629051</v>
      </c>
      <c r="J65" s="17" t="str">
        <f ca="1">_xlfn.FORMULATEXT(I65)</f>
        <v>=(I62*I80)+(I63+I64)*I81</v>
      </c>
      <c r="K65" s="42">
        <f>(K62*K80)+(K63+K64)*K81</f>
        <v>1394.3249759717314</v>
      </c>
      <c r="L65" s="17" t="str">
        <f ca="1">_xlfn.FORMULATEXT(K65)</f>
        <v>=(K62*K80)+(K63+K64)*K81</v>
      </c>
      <c r="M65" s="42">
        <f>(M62*M80)+(M63+M64)*M81</f>
        <v>140.28896799117365</v>
      </c>
      <c r="N65" s="17" t="str">
        <f ca="1">_xlfn.FORMULATEXT(M65)</f>
        <v>=(M62*M80)+(M63+M64)*M81</v>
      </c>
    </row>
    <row r="67" spans="2:19" x14ac:dyDescent="0.25">
      <c r="B67" s="2" t="s">
        <v>276</v>
      </c>
    </row>
    <row r="68" spans="2:19" x14ac:dyDescent="0.25">
      <c r="B68" s="1" t="s">
        <v>164</v>
      </c>
      <c r="E68" s="14">
        <f>E33-(E57+E48)</f>
        <v>602.56700000000001</v>
      </c>
      <c r="F68" s="17" t="str">
        <f ca="1">_xlfn.FORMULATEXT(E68)</f>
        <v>=E33-(E57+E48)</v>
      </c>
      <c r="G68" s="17"/>
      <c r="H68" s="16"/>
      <c r="I68" s="14">
        <f>I33-(I57+I48)</f>
        <v>587.92880000000002</v>
      </c>
      <c r="J68" s="17" t="str">
        <f ca="1">_xlfn.FORMULATEXT(I68)</f>
        <v>=I33-(I57+I48)</v>
      </c>
      <c r="K68" s="17"/>
      <c r="L68" s="17"/>
      <c r="M68" s="17"/>
      <c r="N68" s="17"/>
      <c r="O68" s="17"/>
      <c r="P68" s="17"/>
      <c r="Q68" s="17"/>
      <c r="R68" s="17"/>
      <c r="S68" s="17"/>
    </row>
    <row r="69" spans="2:19" x14ac:dyDescent="0.25">
      <c r="B69" s="1" t="s">
        <v>505</v>
      </c>
      <c r="E69" s="14">
        <f>E34+E40-(E58+E49)</f>
        <v>184.43299999999999</v>
      </c>
      <c r="F69" s="17" t="str">
        <f ca="1">_xlfn.FORMULATEXT(E69)</f>
        <v>=E34+E40-(E58+E49)</v>
      </c>
      <c r="G69" s="17"/>
      <c r="H69" s="16"/>
      <c r="I69" s="14">
        <f>I34+I40-(I58+I49)</f>
        <v>177.91121386138613</v>
      </c>
      <c r="J69" s="17" t="str">
        <f ca="1">_xlfn.FORMULATEXT(I69)</f>
        <v>=I34+I40-(I58+I49)</v>
      </c>
      <c r="K69" s="17"/>
      <c r="L69" s="17"/>
      <c r="M69" s="17"/>
      <c r="N69" s="17"/>
      <c r="O69" s="17"/>
      <c r="P69" s="17"/>
      <c r="Q69" s="17"/>
      <c r="R69" s="17"/>
      <c r="S69" s="17"/>
    </row>
    <row r="70" spans="2:19" x14ac:dyDescent="0.25">
      <c r="B70" s="1" t="s">
        <v>500</v>
      </c>
      <c r="E70" s="31">
        <f>E44-E50</f>
        <v>331.42857142857144</v>
      </c>
      <c r="F70" s="17" t="str">
        <f ca="1">_xlfn.FORMULATEXT(E70)</f>
        <v>=E44-E50</v>
      </c>
      <c r="G70" s="17"/>
      <c r="H70" s="16"/>
      <c r="I70" s="31">
        <f>I44-I50</f>
        <v>328.04949611648118</v>
      </c>
      <c r="J70" s="17" t="str">
        <f ca="1">_xlfn.FORMULATEXT(I70)</f>
        <v>=I44-I50</v>
      </c>
      <c r="K70" s="17"/>
      <c r="L70" s="17"/>
      <c r="M70" s="17"/>
      <c r="N70" s="17"/>
      <c r="O70" s="17"/>
      <c r="P70" s="17"/>
      <c r="Q70" s="17"/>
      <c r="R70" s="17"/>
      <c r="S70" s="17"/>
    </row>
    <row r="71" spans="2:19" x14ac:dyDescent="0.25">
      <c r="B71" s="1" t="s">
        <v>504</v>
      </c>
      <c r="E71" s="32">
        <f>E45-E51-E54-E59</f>
        <v>0</v>
      </c>
      <c r="F71" s="17" t="str">
        <f ca="1">_xlfn.FORMULATEXT(E71)</f>
        <v>=E45-E51-E54-E59</v>
      </c>
      <c r="G71" s="17"/>
      <c r="H71" s="16"/>
      <c r="I71" s="32">
        <f>I45-I51-I54-I59</f>
        <v>0</v>
      </c>
      <c r="J71" s="17" t="str">
        <f ca="1">_xlfn.FORMULATEXT(I71)</f>
        <v>=I45-I51-I54-I59</v>
      </c>
      <c r="K71" s="17"/>
      <c r="L71" s="17"/>
      <c r="M71" s="17"/>
      <c r="N71" s="17"/>
      <c r="O71" s="17"/>
      <c r="P71" s="17"/>
      <c r="Q71" s="17"/>
      <c r="R71" s="17"/>
      <c r="S71" s="17"/>
    </row>
    <row r="72" spans="2:19" x14ac:dyDescent="0.25">
      <c r="E72" s="8"/>
      <c r="F72" s="16"/>
      <c r="G72" s="16"/>
      <c r="H72" s="16"/>
      <c r="I72" s="8"/>
      <c r="K72" s="8"/>
      <c r="L72" s="17"/>
      <c r="M72" s="8"/>
      <c r="N72" s="17"/>
    </row>
    <row r="73" spans="2:19" x14ac:dyDescent="0.25">
      <c r="B73" s="2" t="s">
        <v>114</v>
      </c>
      <c r="E73" s="4"/>
      <c r="F73" s="18"/>
      <c r="G73" s="18"/>
      <c r="H73" s="16"/>
      <c r="I73" s="4"/>
      <c r="K73" s="4"/>
      <c r="L73" s="17"/>
      <c r="M73" s="4"/>
      <c r="N73" s="17"/>
    </row>
    <row r="74" spans="2:19" x14ac:dyDescent="0.25">
      <c r="B74" s="1" t="s">
        <v>171</v>
      </c>
      <c r="C74" s="1" t="s">
        <v>116</v>
      </c>
      <c r="E74" s="60">
        <f>'Sheep parameter'!C9</f>
        <v>5.12</v>
      </c>
      <c r="F74" s="17" t="str">
        <f ca="1">_xlfn.FORMULATEXT(E74)</f>
        <v>='Sheep parameter'!C9</v>
      </c>
      <c r="G74" s="17"/>
      <c r="H74" s="16"/>
      <c r="I74" s="63">
        <f>E74</f>
        <v>5.12</v>
      </c>
      <c r="J74" s="17" t="str">
        <f ca="1">_xlfn.FORMULATEXT(I74)</f>
        <v>=E74</v>
      </c>
      <c r="K74" s="46">
        <f>E74</f>
        <v>5.12</v>
      </c>
      <c r="L74" s="17" t="str">
        <f ca="1">_xlfn.FORMULATEXT(K74)</f>
        <v>=E74</v>
      </c>
      <c r="M74" s="65">
        <f>E74</f>
        <v>5.12</v>
      </c>
      <c r="N74" s="17" t="str">
        <f ca="1">_xlfn.FORMULATEXT(M74)</f>
        <v>=E74</v>
      </c>
    </row>
    <row r="75" spans="2:19" x14ac:dyDescent="0.25">
      <c r="B75" s="1" t="s">
        <v>115</v>
      </c>
      <c r="C75" s="1" t="s">
        <v>117</v>
      </c>
      <c r="E75" s="13">
        <f>SUM(E62:E63)*E74</f>
        <v>4927.0621782178214</v>
      </c>
      <c r="F75" s="17" t="str">
        <f ca="1">_xlfn.FORMULATEXT(E75)</f>
        <v>=SUM(E62:E63)*E74</v>
      </c>
      <c r="G75" s="17"/>
      <c r="H75" s="16"/>
      <c r="I75" s="13">
        <f>K75+M75</f>
        <v>4872.8926137029703</v>
      </c>
      <c r="J75" s="17" t="str">
        <f ca="1">_xlfn.FORMULATEXT(I75)</f>
        <v>=K75+M75</v>
      </c>
      <c r="K75" s="43">
        <f>SUM(K62:K63)*K74</f>
        <v>4557.5325148514848</v>
      </c>
      <c r="L75" s="17" t="str">
        <f ca="1">_xlfn.FORMULATEXT(K75)</f>
        <v>=SUM(K62:K63)*K74</v>
      </c>
      <c r="M75" s="43">
        <f>SUM(M62:M63)*M74</f>
        <v>315.36009885148519</v>
      </c>
      <c r="N75" s="17" t="str">
        <f ca="1">_xlfn.FORMULATEXT(M75)</f>
        <v>=SUM(M62:M63)*M74</v>
      </c>
    </row>
    <row r="76" spans="2:19" x14ac:dyDescent="0.25">
      <c r="F76" s="17"/>
      <c r="G76" s="17"/>
      <c r="H76" s="16"/>
      <c r="J76" s="17"/>
      <c r="L76" s="17"/>
      <c r="N76" s="17"/>
    </row>
    <row r="77" spans="2:19" x14ac:dyDescent="0.25">
      <c r="B77" s="55" t="s">
        <v>17</v>
      </c>
      <c r="C77" s="56"/>
      <c r="D77" s="56"/>
      <c r="E77" s="56"/>
      <c r="F77" s="57"/>
      <c r="G77" s="57"/>
      <c r="H77" s="56"/>
      <c r="I77" s="56"/>
      <c r="J77" s="56"/>
      <c r="K77" s="56"/>
      <c r="L77" s="56"/>
      <c r="M77" s="56"/>
      <c r="N77" s="56"/>
    </row>
    <row r="78" spans="2:19" x14ac:dyDescent="0.25">
      <c r="B78" s="2"/>
      <c r="F78" s="16"/>
      <c r="G78" s="16"/>
      <c r="H78" s="16"/>
    </row>
    <row r="79" spans="2:19" x14ac:dyDescent="0.25">
      <c r="B79" s="2" t="s">
        <v>191</v>
      </c>
      <c r="F79" s="16"/>
      <c r="G79" s="16"/>
      <c r="H79" s="16"/>
    </row>
    <row r="80" spans="2:19" x14ac:dyDescent="0.25">
      <c r="B80" s="1" t="s">
        <v>164</v>
      </c>
      <c r="C80" s="1" t="s">
        <v>192</v>
      </c>
      <c r="E80" s="22">
        <v>1</v>
      </c>
      <c r="F80" s="16"/>
      <c r="G80" s="16"/>
      <c r="H80" s="16"/>
      <c r="I80" s="22">
        <v>1</v>
      </c>
      <c r="K80" s="22">
        <v>1</v>
      </c>
      <c r="M80" s="22">
        <v>1</v>
      </c>
    </row>
    <row r="81" spans="2:14" x14ac:dyDescent="0.25">
      <c r="B81" s="1" t="s">
        <v>193</v>
      </c>
      <c r="C81" s="1" t="s">
        <v>192</v>
      </c>
      <c r="E81" s="22">
        <v>0.7</v>
      </c>
      <c r="F81" s="16"/>
      <c r="G81" s="16"/>
      <c r="H81" s="16"/>
      <c r="I81" s="22">
        <v>0.7</v>
      </c>
      <c r="K81" s="22">
        <v>0.7</v>
      </c>
      <c r="M81" s="22">
        <v>0.7</v>
      </c>
    </row>
    <row r="82" spans="2:14" x14ac:dyDescent="0.25">
      <c r="B82" s="2"/>
      <c r="F82" s="16"/>
      <c r="G82" s="16"/>
      <c r="H82" s="16"/>
    </row>
    <row r="83" spans="2:14" x14ac:dyDescent="0.25">
      <c r="B83" s="2" t="s">
        <v>88</v>
      </c>
      <c r="F83" s="16"/>
      <c r="G83" s="16"/>
      <c r="H83" s="16"/>
      <c r="L83" s="17"/>
      <c r="N83" s="17"/>
    </row>
    <row r="84" spans="2:14" x14ac:dyDescent="0.25">
      <c r="B84" s="11" t="s">
        <v>163</v>
      </c>
      <c r="C84" s="1" t="s">
        <v>3</v>
      </c>
      <c r="E84" s="19">
        <f>'Sheep parameter'!C8/100</f>
        <v>5.9000000000000004E-2</v>
      </c>
      <c r="F84" s="17" t="str">
        <f ca="1">_xlfn.FORMULATEXT(E84)</f>
        <v>='Sheep parameter'!C8/100</v>
      </c>
      <c r="G84" s="17"/>
      <c r="H84" s="16"/>
      <c r="I84" s="17"/>
      <c r="J84" s="17"/>
      <c r="K84" s="47">
        <f>E84</f>
        <v>5.9000000000000004E-2</v>
      </c>
      <c r="L84" s="17" t="str">
        <f ca="1">_xlfn.FORMULATEXT(K84)</f>
        <v>=E84</v>
      </c>
      <c r="M84" s="49">
        <f>MIN(E84+'Partial Budget'!$I$12/100,1)</f>
        <v>0.10700000000000001</v>
      </c>
      <c r="N84" s="17" t="str">
        <f ca="1">_xlfn.FORMULATEXT(M84)</f>
        <v>=MIN(E84+'Partial Budget'!$I$12/100,1)</v>
      </c>
    </row>
    <row r="85" spans="2:14" x14ac:dyDescent="0.25">
      <c r="B85" s="11" t="s">
        <v>110</v>
      </c>
      <c r="C85" s="1" t="s">
        <v>3</v>
      </c>
      <c r="E85" s="19">
        <f>AVERAGE(E84,E86)</f>
        <v>4.0500000000000001E-2</v>
      </c>
      <c r="F85" s="17" t="str">
        <f ca="1">_xlfn.FORMULATEXT(E85)</f>
        <v>=AVERAGE(E84,E86)</v>
      </c>
      <c r="G85" s="17"/>
      <c r="H85" s="16"/>
      <c r="I85" s="17"/>
      <c r="J85" s="17"/>
      <c r="K85" s="47">
        <f>E85</f>
        <v>4.0500000000000001E-2</v>
      </c>
      <c r="L85" s="17" t="str">
        <f ca="1">_xlfn.FORMULATEXT(K85)</f>
        <v>=E85</v>
      </c>
      <c r="M85" s="49">
        <f>MIN(E85+'Partial Budget'!$I$12/100,1)</f>
        <v>8.8499999999999995E-2</v>
      </c>
      <c r="N85" s="17" t="str">
        <f ca="1">_xlfn.FORMULATEXT(M85)</f>
        <v>=MIN(E85+'Partial Budget'!$I$12/100,1)</v>
      </c>
    </row>
    <row r="86" spans="2:14" x14ac:dyDescent="0.25">
      <c r="B86" s="11" t="s">
        <v>81</v>
      </c>
      <c r="C86" s="1" t="s">
        <v>3</v>
      </c>
      <c r="E86" s="19">
        <f>'Sheep parameter'!C7/100</f>
        <v>2.2000000000000002E-2</v>
      </c>
      <c r="F86" s="17" t="str">
        <f ca="1">_xlfn.FORMULATEXT(E86)</f>
        <v>='Sheep parameter'!C7/100</v>
      </c>
      <c r="G86" s="17"/>
      <c r="H86" s="16"/>
      <c r="I86" s="17"/>
      <c r="J86" s="17"/>
      <c r="K86" s="47">
        <f>E86</f>
        <v>2.2000000000000002E-2</v>
      </c>
      <c r="L86" s="17" t="str">
        <f ca="1">_xlfn.FORMULATEXT(K86)</f>
        <v>=E86</v>
      </c>
      <c r="M86" s="49">
        <f>MIN(E86+'Partial Budget'!$I$13/100,1)</f>
        <v>9.2000000000000012E-2</v>
      </c>
      <c r="N86" s="17" t="str">
        <f ca="1">_xlfn.FORMULATEXT(M86)</f>
        <v>=MIN(E86+'Partial Budget'!$I$13/100,1)</v>
      </c>
    </row>
    <row r="87" spans="2:14" x14ac:dyDescent="0.25">
      <c r="F87" s="16"/>
      <c r="G87" s="16"/>
      <c r="H87" s="16"/>
      <c r="L87" s="17"/>
      <c r="N87" s="17"/>
    </row>
    <row r="88" spans="2:14" x14ac:dyDescent="0.25">
      <c r="B88" s="2" t="s">
        <v>94</v>
      </c>
      <c r="F88" s="16"/>
      <c r="G88" s="16"/>
      <c r="H88" s="16"/>
      <c r="L88" s="17"/>
      <c r="N88" s="17"/>
    </row>
    <row r="89" spans="2:14" x14ac:dyDescent="0.25">
      <c r="B89" s="11" t="s">
        <v>516</v>
      </c>
      <c r="C89" s="1" t="s">
        <v>3</v>
      </c>
      <c r="E89" s="19">
        <f>'Sheep parameter'!C5/100</f>
        <v>1.3659466327827192</v>
      </c>
      <c r="F89" s="17" t="str">
        <f t="shared" ref="F89:F94" ca="1" si="9">_xlfn.FORMULATEXT(E89)</f>
        <v>='Sheep parameter'!C5/100</v>
      </c>
      <c r="G89" s="17"/>
      <c r="H89" s="16"/>
      <c r="I89" s="17"/>
      <c r="J89" s="17"/>
      <c r="K89" s="47">
        <f>E89</f>
        <v>1.3659466327827192</v>
      </c>
      <c r="L89" s="17" t="str">
        <f ca="1">_xlfn.FORMULATEXT(K89)</f>
        <v>=E89</v>
      </c>
      <c r="M89" s="49">
        <f>E89*(1-M91)*(1-M92)</f>
        <v>1.3249682337992377</v>
      </c>
      <c r="N89" s="17" t="str">
        <f ca="1">_xlfn.FORMULATEXT(M89)</f>
        <v>=E89*(1-M91)*(1-M92)</v>
      </c>
    </row>
    <row r="90" spans="2:14" x14ac:dyDescent="0.25">
      <c r="B90" s="11" t="s">
        <v>490</v>
      </c>
      <c r="C90" s="1" t="s">
        <v>3</v>
      </c>
      <c r="E90" s="19">
        <f>'Sheep parameter'!C25</f>
        <v>0.7</v>
      </c>
      <c r="F90" s="17" t="str">
        <f t="shared" ca="1" si="9"/>
        <v>='Sheep parameter'!C25</v>
      </c>
      <c r="G90" s="17"/>
      <c r="H90" s="16"/>
      <c r="I90" s="17"/>
      <c r="J90" s="17"/>
      <c r="K90" s="47">
        <f>E90</f>
        <v>0.7</v>
      </c>
      <c r="L90" s="17" t="str">
        <f ca="1">_xlfn.FORMULATEXT(K90)</f>
        <v>=E90</v>
      </c>
      <c r="M90" s="49">
        <f>E90*(1-M91)*(1-M92)</f>
        <v>0.67899999999999994</v>
      </c>
      <c r="N90" s="17" t="str">
        <f ca="1">_xlfn.FORMULATEXT(M90)</f>
        <v>=E90*(1-M91)*(1-M92)</v>
      </c>
    </row>
    <row r="91" spans="2:14" x14ac:dyDescent="0.25">
      <c r="B91" s="11" t="s">
        <v>30</v>
      </c>
      <c r="C91" s="1" t="s">
        <v>3</v>
      </c>
      <c r="E91" s="19"/>
      <c r="F91" s="17" t="e">
        <f t="shared" ca="1" si="9"/>
        <v>#N/A</v>
      </c>
      <c r="G91" s="17"/>
      <c r="H91" s="16"/>
      <c r="I91" s="17"/>
      <c r="J91" s="17"/>
      <c r="K91" s="47">
        <f>E91</f>
        <v>0</v>
      </c>
      <c r="L91" s="17" t="str">
        <f ca="1">_xlfn.FORMULATEXT(K91)</f>
        <v>=E91</v>
      </c>
      <c r="M91" s="50">
        <f>E91+'Partial Budget'!I15/100</f>
        <v>0.03</v>
      </c>
      <c r="N91" s="17" t="str">
        <f ca="1">_xlfn.FORMULATEXT(M91)</f>
        <v>=E91+'Partial Budget'!I15/100</v>
      </c>
    </row>
    <row r="92" spans="2:14" x14ac:dyDescent="0.25">
      <c r="B92" s="11" t="s">
        <v>363</v>
      </c>
      <c r="C92" s="1" t="s">
        <v>3</v>
      </c>
      <c r="E92" s="19"/>
      <c r="F92" s="17" t="e">
        <f t="shared" ca="1" si="9"/>
        <v>#N/A</v>
      </c>
      <c r="G92" s="17"/>
      <c r="H92" s="16"/>
      <c r="I92" s="17"/>
      <c r="J92" s="17"/>
      <c r="K92" s="47">
        <f>E92</f>
        <v>0</v>
      </c>
      <c r="L92" s="17" t="str">
        <f ca="1">_xlfn.FORMULATEXT(K92)</f>
        <v>=E92</v>
      </c>
      <c r="M92" s="50">
        <f>E92+'Partial Budget'!I16/100</f>
        <v>0</v>
      </c>
      <c r="N92" s="17" t="str">
        <f ca="1">_xlfn.FORMULATEXT(M92)</f>
        <v>=E92+'Partial Budget'!I16/100</v>
      </c>
    </row>
    <row r="93" spans="2:14" x14ac:dyDescent="0.25">
      <c r="B93" s="1" t="s">
        <v>180</v>
      </c>
      <c r="C93" s="1" t="s">
        <v>13</v>
      </c>
      <c r="E93" s="19">
        <f>'Sheep parameter'!C6/100</f>
        <v>7.407407407407407E-2</v>
      </c>
      <c r="F93" s="17" t="str">
        <f t="shared" ca="1" si="9"/>
        <v>='Sheep parameter'!C6/100</v>
      </c>
      <c r="G93" s="17"/>
      <c r="H93" s="16"/>
      <c r="I93" s="17"/>
      <c r="J93" s="17"/>
      <c r="K93" s="17"/>
      <c r="N93" s="17"/>
    </row>
    <row r="94" spans="2:14" x14ac:dyDescent="0.25">
      <c r="B94" s="1" t="s">
        <v>515</v>
      </c>
      <c r="C94" s="1" t="s">
        <v>13</v>
      </c>
      <c r="E94" s="19">
        <f>E110/E34</f>
        <v>0.37068965517241381</v>
      </c>
      <c r="F94" s="17" t="str">
        <f t="shared" ca="1" si="9"/>
        <v>=E110/E34</v>
      </c>
      <c r="G94" s="17"/>
      <c r="H94" s="16"/>
      <c r="J94" s="17"/>
      <c r="K94" s="47">
        <f>E94</f>
        <v>0.37068965517241381</v>
      </c>
      <c r="L94" s="17" t="str">
        <f ca="1">_xlfn.FORMULATEXT(K94)</f>
        <v>=E94</v>
      </c>
      <c r="M94" s="49">
        <f>E94*(1-'Partial Budget'!I22/100)</f>
        <v>0.37068965517241381</v>
      </c>
      <c r="N94" s="17" t="str">
        <f ca="1">_xlfn.FORMULATEXT(M94)</f>
        <v>=E94*(1-'Partial Budget'!I22/100)</v>
      </c>
    </row>
    <row r="95" spans="2:14" x14ac:dyDescent="0.25">
      <c r="B95" s="1" t="s">
        <v>194</v>
      </c>
      <c r="C95" s="1" t="s">
        <v>195</v>
      </c>
      <c r="E95" s="22">
        <v>100</v>
      </c>
      <c r="F95" s="17"/>
      <c r="G95" s="17"/>
      <c r="H95" s="16"/>
      <c r="I95" s="22">
        <v>100</v>
      </c>
      <c r="J95" s="17"/>
      <c r="K95" s="17"/>
      <c r="L95" s="17"/>
      <c r="M95" s="17"/>
      <c r="N95" s="17"/>
    </row>
    <row r="96" spans="2:14" x14ac:dyDescent="0.25">
      <c r="F96" s="17"/>
      <c r="G96" s="17"/>
      <c r="H96" s="16"/>
      <c r="I96" s="4"/>
      <c r="K96" s="4"/>
      <c r="L96" s="17"/>
      <c r="M96" s="4"/>
      <c r="N96" s="17"/>
    </row>
    <row r="97" spans="2:14" x14ac:dyDescent="0.25">
      <c r="B97" s="2" t="s">
        <v>118</v>
      </c>
      <c r="F97" s="17"/>
      <c r="G97" s="17"/>
      <c r="H97" s="16"/>
      <c r="I97" s="4"/>
      <c r="K97" s="4"/>
      <c r="L97" s="17"/>
      <c r="M97" s="4"/>
      <c r="N97" s="17"/>
    </row>
    <row r="98" spans="2:14" x14ac:dyDescent="0.25">
      <c r="B98" s="1" t="s">
        <v>508</v>
      </c>
      <c r="E98" s="32">
        <f>E35/2</f>
        <v>580.5</v>
      </c>
      <c r="F98" s="17" t="str">
        <f t="shared" ref="F98:F104" ca="1" si="10">_xlfn.FORMULATEXT(E98)</f>
        <v>=E35/2</v>
      </c>
      <c r="G98" s="17"/>
      <c r="H98" s="16"/>
      <c r="I98" s="32">
        <f>I35/2</f>
        <v>579.19387500000005</v>
      </c>
      <c r="J98" s="17" t="str">
        <f t="shared" ref="J98:J104" ca="1" si="11">_xlfn.FORMULATEXT(I98)</f>
        <v>=I35/2</v>
      </c>
      <c r="K98" s="42">
        <f>I98*K35/I35</f>
        <v>496.69031249999995</v>
      </c>
      <c r="L98" s="17" t="str">
        <f t="shared" ref="L98:N104" ca="1" si="12">_xlfn.FORMULATEXT(K98)</f>
        <v>=I98*K35/I35</v>
      </c>
      <c r="M98" s="42">
        <f>I98-K98</f>
        <v>82.5035625000001</v>
      </c>
      <c r="N98" s="17" t="str">
        <f t="shared" ref="N98" ca="1" si="13">_xlfn.FORMULATEXT(M98)</f>
        <v>=I98-K98</v>
      </c>
    </row>
    <row r="99" spans="2:14" x14ac:dyDescent="0.25">
      <c r="B99" s="1" t="s">
        <v>507</v>
      </c>
      <c r="E99" s="123">
        <f>E34/(1-$E$86)</f>
        <v>338.88401986561496</v>
      </c>
      <c r="F99" s="17" t="str">
        <f t="shared" ca="1" si="10"/>
        <v>=E34/(1-$E$86)</v>
      </c>
      <c r="G99" s="17"/>
      <c r="H99" s="16"/>
      <c r="I99" s="31">
        <f>E99</f>
        <v>338.88401986561496</v>
      </c>
      <c r="J99" s="17" t="str">
        <f t="shared" ca="1" si="11"/>
        <v>=E99</v>
      </c>
      <c r="K99" s="17"/>
      <c r="L99" s="17"/>
      <c r="M99" s="17"/>
      <c r="N99" s="17"/>
    </row>
    <row r="100" spans="2:14" x14ac:dyDescent="0.25">
      <c r="B100" s="1" t="s">
        <v>119</v>
      </c>
      <c r="E100" s="32">
        <f>E98-E99</f>
        <v>241.61598013438504</v>
      </c>
      <c r="F100" s="17" t="str">
        <f t="shared" ca="1" si="10"/>
        <v>=E98-E99</v>
      </c>
      <c r="G100" s="17"/>
      <c r="H100" s="16"/>
      <c r="I100" s="32">
        <f>I98-I99</f>
        <v>240.30985513438509</v>
      </c>
      <c r="J100" s="17" t="str">
        <f t="shared" ca="1" si="11"/>
        <v>=I98-I99</v>
      </c>
      <c r="K100" s="42">
        <f>I100*K35/I35</f>
        <v>206.07879709281707</v>
      </c>
      <c r="L100" s="17" t="str">
        <f t="shared" ref="L100" ca="1" si="14">_xlfn.FORMULATEXT(K100)</f>
        <v>=I100*K35/I35</v>
      </c>
      <c r="M100" s="42">
        <f>I100-K100</f>
        <v>34.231058041568019</v>
      </c>
      <c r="N100" s="17" t="str">
        <f t="shared" ref="N100" ca="1" si="15">_xlfn.FORMULATEXT(M100)</f>
        <v>=I100-K100</v>
      </c>
    </row>
    <row r="101" spans="2:14" x14ac:dyDescent="0.25">
      <c r="B101" s="1" t="s">
        <v>523</v>
      </c>
      <c r="E101" s="30">
        <f>IF(E100&gt;0,E99,E35/2)</f>
        <v>338.88401986561496</v>
      </c>
      <c r="F101" s="17" t="str">
        <f t="shared" ca="1" si="10"/>
        <v>=IF(E100&gt;0,E99,E35/2)</v>
      </c>
      <c r="G101" s="17"/>
      <c r="H101" s="16"/>
      <c r="I101" s="122">
        <f>IF(I100&gt;0,I99,I35/2)</f>
        <v>338.88401986561496</v>
      </c>
      <c r="J101" s="17" t="str">
        <f t="shared" ca="1" si="11"/>
        <v>=IF(I100&gt;0,I99,I35/2)</v>
      </c>
      <c r="K101" s="42">
        <f>I101*K35/I35</f>
        <v>290.61151540718294</v>
      </c>
      <c r="L101" s="17" t="str">
        <f t="shared" ca="1" si="12"/>
        <v>=I101*K35/I35</v>
      </c>
      <c r="M101" s="42">
        <f>I101-K101</f>
        <v>48.272504458432024</v>
      </c>
      <c r="N101" s="17" t="str">
        <f t="shared" ca="1" si="12"/>
        <v>=I101-K101</v>
      </c>
    </row>
    <row r="102" spans="2:14" x14ac:dyDescent="0.25">
      <c r="B102" s="1" t="s">
        <v>524</v>
      </c>
      <c r="E102" s="30">
        <f>(E54+E59)/(1-E86)</f>
        <v>1224.9488752556238</v>
      </c>
      <c r="F102" s="17" t="str">
        <f t="shared" ca="1" si="10"/>
        <v>=(E54+E59)/(1-E86)</v>
      </c>
      <c r="G102" s="17"/>
      <c r="H102" s="16"/>
      <c r="I102" s="30">
        <f>E102</f>
        <v>1224.9488752556238</v>
      </c>
      <c r="J102" s="17" t="str">
        <f t="shared" ca="1" si="11"/>
        <v>=E102</v>
      </c>
      <c r="K102" s="17"/>
      <c r="L102" s="17"/>
      <c r="M102" s="17"/>
      <c r="N102" s="17"/>
    </row>
    <row r="103" spans="2:14" x14ac:dyDescent="0.25">
      <c r="B103" s="1" t="s">
        <v>509</v>
      </c>
      <c r="E103" s="30">
        <f>E35-E101-E102</f>
        <v>-402.83289512123872</v>
      </c>
      <c r="F103" s="17" t="str">
        <f t="shared" ca="1" si="10"/>
        <v>=E35-E101-E102</v>
      </c>
      <c r="G103" s="17"/>
      <c r="H103" s="16"/>
      <c r="I103" s="30">
        <f>I35-I101-I102</f>
        <v>-405.44514512123862</v>
      </c>
      <c r="J103" s="17" t="str">
        <f t="shared" ca="1" si="11"/>
        <v>=I35-I101-I102</v>
      </c>
      <c r="K103" s="17"/>
      <c r="L103" s="17"/>
      <c r="M103" s="17"/>
      <c r="N103" s="17"/>
    </row>
    <row r="104" spans="2:14" x14ac:dyDescent="0.25">
      <c r="B104" s="1" t="s">
        <v>174</v>
      </c>
      <c r="E104" s="61">
        <f>E59/(E54+E59)</f>
        <v>0.61769616026711183</v>
      </c>
      <c r="F104" s="17" t="str">
        <f t="shared" ca="1" si="10"/>
        <v>=E59/(E54+E59)</v>
      </c>
      <c r="G104" s="17"/>
      <c r="H104" s="16"/>
      <c r="I104" s="61">
        <f>E104</f>
        <v>0.61769616026711183</v>
      </c>
      <c r="J104" s="17" t="str">
        <f t="shared" ca="1" si="11"/>
        <v>=E104</v>
      </c>
      <c r="K104" s="64">
        <f>E104</f>
        <v>0.61769616026711183</v>
      </c>
      <c r="L104" s="17" t="str">
        <f t="shared" ca="1" si="12"/>
        <v>=E104</v>
      </c>
      <c r="M104" s="66">
        <f>E104*(1-'Partial Budget'!I22/100)</f>
        <v>0.61769616026711183</v>
      </c>
      <c r="N104" s="17" t="str">
        <f t="shared" ref="N104" ca="1" si="16">_xlfn.FORMULATEXT(M104)</f>
        <v>=E104*(1-'Partial Budget'!I22/100)</v>
      </c>
    </row>
    <row r="105" spans="2:14" x14ac:dyDescent="0.25">
      <c r="F105" s="17"/>
      <c r="G105" s="17"/>
      <c r="H105" s="16"/>
      <c r="I105" s="17"/>
      <c r="J105" s="17"/>
      <c r="L105" s="17"/>
      <c r="N105" s="17"/>
    </row>
    <row r="106" spans="2:14" x14ac:dyDescent="0.25">
      <c r="B106" s="2" t="s">
        <v>513</v>
      </c>
      <c r="E106" s="9"/>
      <c r="F106" s="16"/>
      <c r="G106" s="16"/>
      <c r="H106" s="16"/>
      <c r="I106" s="9"/>
      <c r="K106" s="9"/>
      <c r="L106" s="6"/>
      <c r="M106" s="9"/>
      <c r="N106" s="6"/>
    </row>
    <row r="107" spans="2:14" x14ac:dyDescent="0.25">
      <c r="B107" s="1" t="s">
        <v>80</v>
      </c>
      <c r="C107" s="1" t="s">
        <v>3</v>
      </c>
      <c r="E107" s="19">
        <f>E57/'Sheep GM'!E33</f>
        <v>0.17534942820838628</v>
      </c>
      <c r="F107" s="17" t="str">
        <f ca="1">_xlfn.FORMULATEXT(E107)</f>
        <v>=E57/'Sheep GM'!E33</v>
      </c>
      <c r="G107" s="17"/>
      <c r="H107" s="16"/>
      <c r="K107" s="47">
        <f>E107</f>
        <v>0.17534942820838628</v>
      </c>
      <c r="L107" s="17" t="str">
        <f ca="1">_xlfn.FORMULATEXT(K107)</f>
        <v>=E107</v>
      </c>
      <c r="M107" s="49">
        <f>MIN(1,'Partial Budget'!I21/100+E107)</f>
        <v>0.37534942820838629</v>
      </c>
      <c r="N107" s="17" t="str">
        <f ca="1">_xlfn.FORMULATEXT(M107)</f>
        <v>=MIN(1,'Partial Budget'!I21/100+E107)</v>
      </c>
    </row>
    <row r="108" spans="2:14" x14ac:dyDescent="0.25">
      <c r="B108" s="1" t="s">
        <v>111</v>
      </c>
      <c r="C108" s="1" t="s">
        <v>3</v>
      </c>
      <c r="E108" s="19">
        <f>E58/('Sheep GM'!E34+E40)</f>
        <v>0.43350087536002713</v>
      </c>
      <c r="F108" s="17" t="str">
        <f ca="1">_xlfn.FORMULATEXT(E108)</f>
        <v>=E58/('Sheep GM'!E34+E40)</v>
      </c>
      <c r="G108" s="17"/>
      <c r="H108" s="16"/>
      <c r="K108" s="47">
        <f>E108</f>
        <v>0.43350087536002713</v>
      </c>
      <c r="L108" s="17" t="str">
        <f ca="1">_xlfn.FORMULATEXT(K108)</f>
        <v>=E108</v>
      </c>
      <c r="M108" s="49">
        <f>MIN(1,'Partial Budget'!I21/100+E108)</f>
        <v>0.63350087536002708</v>
      </c>
      <c r="N108" s="17" t="str">
        <f ca="1">_xlfn.FORMULATEXT(M108)</f>
        <v>=MIN(1,'Partial Budget'!I21/100+E108)</v>
      </c>
    </row>
    <row r="109" spans="2:14" x14ac:dyDescent="0.25">
      <c r="F109" s="17"/>
      <c r="G109" s="17"/>
      <c r="H109" s="16"/>
      <c r="I109" s="40"/>
      <c r="J109" s="17"/>
      <c r="K109" s="40"/>
      <c r="L109" s="17"/>
      <c r="M109" s="40"/>
      <c r="N109" s="17"/>
    </row>
    <row r="110" spans="2:14" x14ac:dyDescent="0.25">
      <c r="B110" s="1" t="s">
        <v>510</v>
      </c>
      <c r="E110" s="14">
        <f>E35*E93/E90</f>
        <v>122.85714285714286</v>
      </c>
      <c r="F110" s="17" t="str">
        <f ca="1">_xlfn.FORMULATEXT(E110)</f>
        <v>=E35*E93/E90</v>
      </c>
      <c r="G110" s="17"/>
      <c r="H110" s="16"/>
      <c r="I110" s="14">
        <f>K110+M110</f>
        <v>122.85714285714289</v>
      </c>
      <c r="J110" s="17" t="str">
        <f ca="1">_xlfn.FORMULATEXT(I110)</f>
        <v>=K110+M110</v>
      </c>
      <c r="K110" s="119">
        <f>K34*K94</f>
        <v>113.64285714285717</v>
      </c>
      <c r="L110" s="17" t="str">
        <f ca="1">_xlfn.FORMULATEXT(K110)</f>
        <v>=K34*K94</v>
      </c>
      <c r="M110" s="42">
        <f>M34*M94</f>
        <v>9.2142857142857153</v>
      </c>
      <c r="N110" s="17" t="str">
        <f ca="1">_xlfn.FORMULATEXT(M110)</f>
        <v>=M34*M94</v>
      </c>
    </row>
    <row r="111" spans="2:14" x14ac:dyDescent="0.25">
      <c r="B111" s="1" t="s">
        <v>506</v>
      </c>
      <c r="E111" s="30">
        <f>(E48+E57)/(1-E85)</f>
        <v>192.21782178217822</v>
      </c>
      <c r="F111" s="17" t="str">
        <f ca="1">_xlfn.FORMULATEXT(E111)</f>
        <v>=(E48+E57)/(1-E85)</v>
      </c>
      <c r="G111" s="17"/>
      <c r="H111" s="16"/>
      <c r="I111" s="30">
        <f>E111</f>
        <v>192.21782178217822</v>
      </c>
      <c r="J111" s="17" t="str">
        <f ca="1">_xlfn.FORMULATEXT(I111)</f>
        <v>=E111</v>
      </c>
      <c r="K111" s="17"/>
      <c r="L111" s="17"/>
      <c r="M111" s="17"/>
      <c r="N111" s="17"/>
    </row>
    <row r="112" spans="2:14" x14ac:dyDescent="0.25">
      <c r="B112" s="1" t="s">
        <v>512</v>
      </c>
      <c r="E112" s="30">
        <f>E111+(E58/(1-E85))</f>
        <v>350.63366336633663</v>
      </c>
      <c r="F112" s="17" t="str">
        <f ca="1">_xlfn.FORMULATEXT(E112)</f>
        <v>=E111+(E58/(1-E85))</v>
      </c>
      <c r="G112" s="17"/>
      <c r="H112" s="16"/>
      <c r="I112" s="30">
        <f>E112</f>
        <v>350.63366336633663</v>
      </c>
      <c r="J112" s="17" t="str">
        <f ca="1">_xlfn.FORMULATEXT(I112)</f>
        <v>=E112</v>
      </c>
      <c r="K112" s="48">
        <f>K33*K107</f>
        <v>127.65</v>
      </c>
      <c r="L112" s="17" t="str">
        <f ca="1">_xlfn.FORMULATEXT(K112)</f>
        <v>=K33*K107</v>
      </c>
      <c r="M112" s="48">
        <f>M33*M107</f>
        <v>22.155000000000001</v>
      </c>
      <c r="N112" s="17" t="str">
        <f ca="1">_xlfn.FORMULATEXT(M112)</f>
        <v>=M33*M107</v>
      </c>
    </row>
    <row r="113" spans="2:14" x14ac:dyDescent="0.25">
      <c r="B113" s="1" t="s">
        <v>511</v>
      </c>
      <c r="E113" s="20">
        <f>E34-E112</f>
        <v>-19.205091937765189</v>
      </c>
      <c r="F113" s="17" t="str">
        <f ca="1">_xlfn.FORMULATEXT(E113)</f>
        <v>=E34-E112</v>
      </c>
      <c r="G113" s="17"/>
      <c r="H113" s="16"/>
      <c r="I113" s="20">
        <f>I34-I112</f>
        <v>-19.205091937765189</v>
      </c>
      <c r="J113" s="17" t="str">
        <f ca="1">_xlfn.FORMULATEXT(I113)</f>
        <v>=I34-I112</v>
      </c>
      <c r="K113" s="44">
        <f>K111-K48-K57</f>
        <v>-170.600525</v>
      </c>
      <c r="L113" s="17" t="str">
        <f ca="1">_xlfn.FORMULATEXT(K113)</f>
        <v>=K111-K48-K57</v>
      </c>
      <c r="M113" s="44">
        <f>M111-M48-M57</f>
        <v>-28.470675</v>
      </c>
      <c r="N113" s="17" t="str">
        <f ca="1">_xlfn.FORMULATEXT(M113)</f>
        <v>=M111-M48-M57</v>
      </c>
    </row>
    <row r="114" spans="2:14" x14ac:dyDescent="0.25">
      <c r="B114" s="2"/>
      <c r="E114" s="4"/>
      <c r="F114" s="18"/>
      <c r="G114" s="18"/>
      <c r="H114" s="16"/>
      <c r="I114" s="4"/>
      <c r="K114" s="4"/>
      <c r="L114" s="17"/>
      <c r="M114" s="4"/>
      <c r="N114" s="17"/>
    </row>
    <row r="115" spans="2:14" x14ac:dyDescent="0.25">
      <c r="B115" s="55" t="s">
        <v>108</v>
      </c>
      <c r="C115" s="56"/>
      <c r="D115" s="56"/>
      <c r="E115" s="56"/>
      <c r="F115" s="57"/>
      <c r="G115" s="57"/>
      <c r="H115" s="56"/>
      <c r="I115" s="56"/>
      <c r="J115" s="56"/>
      <c r="K115" s="56"/>
      <c r="L115" s="56"/>
      <c r="M115" s="56"/>
      <c r="N115" s="56"/>
    </row>
    <row r="116" spans="2:14" x14ac:dyDescent="0.25">
      <c r="B116" s="2"/>
      <c r="F116" s="16"/>
      <c r="G116" s="16"/>
      <c r="H116" s="16"/>
    </row>
    <row r="117" spans="2:14" x14ac:dyDescent="0.25">
      <c r="B117" s="1" t="s">
        <v>86</v>
      </c>
      <c r="C117" s="1" t="s">
        <v>165</v>
      </c>
      <c r="E117" s="25">
        <f>'Sheep parameter'!C10/100</f>
        <v>2.0540000000000003</v>
      </c>
      <c r="F117" s="17" t="str">
        <f ca="1">_xlfn.FORMULATEXT(E117)</f>
        <v>='Sheep parameter'!C10/100</v>
      </c>
      <c r="G117" s="17"/>
      <c r="H117" s="16"/>
      <c r="I117" s="25">
        <f>E117</f>
        <v>2.0540000000000003</v>
      </c>
      <c r="J117" s="17" t="str">
        <f ca="1">_xlfn.FORMULATEXT(I117)</f>
        <v>=E117</v>
      </c>
      <c r="K117" s="52">
        <f>E117</f>
        <v>2.0540000000000003</v>
      </c>
      <c r="L117" s="17" t="str">
        <f ca="1">_xlfn.FORMULATEXT(K117)</f>
        <v>=E117</v>
      </c>
      <c r="M117" s="52">
        <f>E117</f>
        <v>2.0540000000000003</v>
      </c>
      <c r="N117" s="17" t="str">
        <f ca="1">_xlfn.FORMULATEXT(M117)</f>
        <v>=E117</v>
      </c>
    </row>
    <row r="118" spans="2:14" x14ac:dyDescent="0.25">
      <c r="F118" s="16"/>
      <c r="G118" s="16"/>
      <c r="H118" s="16"/>
      <c r="N118" s="17"/>
    </row>
    <row r="119" spans="2:14" x14ac:dyDescent="0.25">
      <c r="B119" s="1" t="s">
        <v>183</v>
      </c>
      <c r="C119" s="1" t="s">
        <v>6</v>
      </c>
      <c r="E119" s="26"/>
      <c r="F119" s="17" t="e">
        <f ca="1">_xlfn.FORMULATEXT(E119)</f>
        <v>#N/A</v>
      </c>
      <c r="G119" s="17"/>
      <c r="H119" s="16"/>
      <c r="K119" s="53">
        <f>E119</f>
        <v>0</v>
      </c>
      <c r="L119" s="17" t="str">
        <f ca="1">_xlfn.FORMULATEXT(K119)</f>
        <v>=E119</v>
      </c>
      <c r="M119" s="54">
        <f>E119*(1-'Partial Budget'!$I$20/100)</f>
        <v>0</v>
      </c>
      <c r="N119" s="17" t="str">
        <f ca="1">_xlfn.FORMULATEXT(M119)</f>
        <v>=E119*(1-'Partial Budget'!$I$20/100)</v>
      </c>
    </row>
    <row r="120" spans="2:14" x14ac:dyDescent="0.25">
      <c r="B120" s="1" t="s">
        <v>166</v>
      </c>
      <c r="C120" s="1" t="s">
        <v>6</v>
      </c>
      <c r="E120" s="26">
        <f>'Sheep parameter'!C19</f>
        <v>191</v>
      </c>
      <c r="F120" s="17" t="str">
        <f ca="1">_xlfn.FORMULATEXT(E120)</f>
        <v>='Sheep parameter'!C19</v>
      </c>
      <c r="G120" s="17"/>
      <c r="H120" s="16"/>
      <c r="I120" s="26">
        <f>E120</f>
        <v>191</v>
      </c>
      <c r="J120" s="17" t="str">
        <f ca="1">_xlfn.FORMULATEXT(I120)</f>
        <v>=E120</v>
      </c>
      <c r="K120" s="53">
        <f>E120</f>
        <v>191</v>
      </c>
      <c r="L120" s="17" t="str">
        <f ca="1">_xlfn.FORMULATEXT(K120)</f>
        <v>=E120</v>
      </c>
      <c r="M120" s="54">
        <f>E120*(1-'Partial Budget'!$I$20/100)</f>
        <v>191</v>
      </c>
      <c r="N120" s="17" t="str">
        <f ca="1">_xlfn.FORMULATEXT(M120)</f>
        <v>=E120*(1-'Partial Budget'!$I$20/100)</v>
      </c>
    </row>
    <row r="121" spans="2:14" x14ac:dyDescent="0.25">
      <c r="B121" s="1" t="s">
        <v>167</v>
      </c>
      <c r="C121" s="1" t="s">
        <v>6</v>
      </c>
      <c r="E121" s="26">
        <f>'Sheep parameter'!C14</f>
        <v>106.96</v>
      </c>
      <c r="F121" s="17" t="str">
        <f ca="1">_xlfn.FORMULATEXT(E121)</f>
        <v>='Sheep parameter'!C14</v>
      </c>
      <c r="G121" s="17"/>
      <c r="H121" s="16"/>
      <c r="I121" s="26">
        <f>E121</f>
        <v>106.96</v>
      </c>
      <c r="J121" s="17" t="str">
        <f ca="1">_xlfn.FORMULATEXT(I121)</f>
        <v>=E121</v>
      </c>
      <c r="K121" s="53">
        <f>E121</f>
        <v>106.96</v>
      </c>
      <c r="L121" s="17" t="str">
        <f ca="1">_xlfn.FORMULATEXT(K121)</f>
        <v>=E121</v>
      </c>
      <c r="M121" s="54">
        <f>E121*(1-'Partial Budget'!$I$20/100)</f>
        <v>106.96</v>
      </c>
      <c r="N121" s="17" t="str">
        <f ca="1">_xlfn.FORMULATEXT(M121)</f>
        <v>=E121*(1-'Partial Budget'!$I$20/100)</v>
      </c>
    </row>
    <row r="122" spans="2:14" x14ac:dyDescent="0.25">
      <c r="B122" s="1" t="s">
        <v>196</v>
      </c>
      <c r="C122" s="1" t="s">
        <v>6</v>
      </c>
      <c r="E122" s="26">
        <f>'Sheep parameter'!C20</f>
        <v>323</v>
      </c>
      <c r="F122" s="17" t="str">
        <f ca="1">_xlfn.FORMULATEXT(E122)</f>
        <v>='Sheep parameter'!C20</v>
      </c>
      <c r="G122" s="17"/>
      <c r="H122" s="16"/>
      <c r="I122" s="26">
        <f>E122</f>
        <v>323</v>
      </c>
      <c r="J122" s="17" t="str">
        <f ca="1">_xlfn.FORMULATEXT(I122)</f>
        <v>=E122</v>
      </c>
      <c r="L122" s="17"/>
      <c r="N122" s="17"/>
    </row>
    <row r="123" spans="2:14" x14ac:dyDescent="0.25">
      <c r="F123" s="16"/>
      <c r="G123" s="16"/>
      <c r="H123" s="16"/>
      <c r="I123" s="29"/>
      <c r="M123" s="29"/>
      <c r="N123" s="17"/>
    </row>
    <row r="124" spans="2:14" x14ac:dyDescent="0.25">
      <c r="B124" s="1" t="s">
        <v>177</v>
      </c>
      <c r="C124" s="1" t="s">
        <v>6</v>
      </c>
      <c r="E124" s="26">
        <f>'Sheep parameter'!C18</f>
        <v>120</v>
      </c>
      <c r="F124" s="17" t="str">
        <f ca="1">_xlfn.FORMULATEXT(E124)</f>
        <v>='Sheep parameter'!C18</v>
      </c>
      <c r="G124" s="17"/>
      <c r="H124" s="16"/>
      <c r="J124" s="17"/>
      <c r="K124" s="53">
        <f>E124</f>
        <v>120</v>
      </c>
      <c r="L124" s="17" t="str">
        <f ca="1">_xlfn.FORMULATEXT(K124)</f>
        <v>=E124</v>
      </c>
      <c r="M124" s="54">
        <f>E124*(1-'Partial Budget'!$I$20/100)</f>
        <v>120</v>
      </c>
      <c r="N124" s="17" t="str">
        <f ca="1">_xlfn.FORMULATEXT(M124)</f>
        <v>=E124*(1-'Partial Budget'!$I$20/100)</v>
      </c>
    </row>
    <row r="125" spans="2:14" x14ac:dyDescent="0.25">
      <c r="B125" s="1" t="s">
        <v>168</v>
      </c>
      <c r="C125" s="1" t="s">
        <v>6</v>
      </c>
      <c r="E125" s="26">
        <f>'Sheep parameter'!C16</f>
        <v>163.88</v>
      </c>
      <c r="F125" s="17" t="str">
        <f ca="1">_xlfn.FORMULATEXT(E125)</f>
        <v>='Sheep parameter'!C16</v>
      </c>
      <c r="G125" s="17"/>
      <c r="H125" s="16"/>
      <c r="J125" s="17"/>
      <c r="K125" s="53">
        <f>E125</f>
        <v>163.88</v>
      </c>
      <c r="L125" s="17" t="str">
        <f ca="1">_xlfn.FORMULATEXT(K125)</f>
        <v>=E125</v>
      </c>
      <c r="M125" s="54">
        <f>E125*(1-'Partial Budget'!$I$20/100)</f>
        <v>163.88</v>
      </c>
      <c r="N125" s="17" t="str">
        <f ca="1">_xlfn.FORMULATEXT(M125)</f>
        <v>=E125*(1-'Partial Budget'!$I$20/100)</v>
      </c>
    </row>
    <row r="126" spans="2:14" x14ac:dyDescent="0.25">
      <c r="B126" s="1" t="s">
        <v>169</v>
      </c>
      <c r="C126" s="1" t="s">
        <v>6</v>
      </c>
      <c r="E126" s="26">
        <f>'Sheep parameter'!C12</f>
        <v>125.42</v>
      </c>
      <c r="F126" s="17" t="str">
        <f ca="1">_xlfn.FORMULATEXT(E126)</f>
        <v>='Sheep parameter'!C12</v>
      </c>
      <c r="G126" s="17"/>
      <c r="H126" s="16"/>
      <c r="J126" s="17"/>
      <c r="K126" s="53">
        <f>E126</f>
        <v>125.42</v>
      </c>
      <c r="L126" s="17" t="str">
        <f ca="1">_xlfn.FORMULATEXT(K126)</f>
        <v>=E126</v>
      </c>
      <c r="M126" s="54">
        <f>E126*(1-'Partial Budget'!$I$20/100)</f>
        <v>125.42</v>
      </c>
      <c r="N126" s="17" t="str">
        <f ca="1">_xlfn.FORMULATEXT(M126)</f>
        <v>=E126*(1-'Partial Budget'!$I$20/100)</v>
      </c>
    </row>
    <row r="127" spans="2:14" x14ac:dyDescent="0.25">
      <c r="F127" s="16"/>
      <c r="G127" s="16"/>
      <c r="H127" s="16"/>
      <c r="L127" s="17"/>
      <c r="N127" s="17"/>
    </row>
    <row r="128" spans="2:14" x14ac:dyDescent="0.25">
      <c r="B128" s="55" t="s">
        <v>64</v>
      </c>
      <c r="C128" s="56"/>
      <c r="D128" s="56"/>
      <c r="E128" s="56"/>
      <c r="F128" s="57"/>
      <c r="G128" s="57"/>
      <c r="H128" s="56"/>
      <c r="I128" s="56"/>
      <c r="J128" s="56"/>
      <c r="K128" s="56"/>
      <c r="L128" s="56"/>
      <c r="M128" s="56"/>
      <c r="N128" s="56"/>
    </row>
    <row r="129" spans="2:14" x14ac:dyDescent="0.25">
      <c r="F129" s="16"/>
      <c r="G129" s="16"/>
      <c r="H129" s="16"/>
      <c r="L129" s="17"/>
      <c r="N129" s="17"/>
    </row>
    <row r="130" spans="2:14" x14ac:dyDescent="0.25">
      <c r="B130" s="2" t="s">
        <v>86</v>
      </c>
      <c r="F130" s="16"/>
      <c r="G130" s="16"/>
      <c r="H130" s="16"/>
      <c r="L130" s="17"/>
      <c r="N130" s="17"/>
    </row>
    <row r="131" spans="2:14" x14ac:dyDescent="0.25">
      <c r="B131" s="1" t="s">
        <v>170</v>
      </c>
      <c r="C131" s="1" t="s">
        <v>165</v>
      </c>
      <c r="E131" s="25">
        <f>'Sheep parameter'!C11/100*E143</f>
        <v>7.0098360281994534</v>
      </c>
      <c r="F131" s="17" t="str">
        <f ca="1">_xlfn.FORMULATEXT(E131)</f>
        <v>='Sheep parameter'!C11/100*E143</v>
      </c>
      <c r="G131" s="17"/>
      <c r="H131" s="16"/>
      <c r="I131" s="25">
        <f>E131</f>
        <v>7.0098360281994534</v>
      </c>
      <c r="J131" s="17" t="str">
        <f ca="1">_xlfn.FORMULATEXT(I131)</f>
        <v>=E131</v>
      </c>
      <c r="L131" s="17"/>
      <c r="N131" s="17"/>
    </row>
    <row r="132" spans="2:14" x14ac:dyDescent="0.25">
      <c r="F132" s="16"/>
      <c r="G132" s="16"/>
      <c r="H132" s="16"/>
      <c r="L132" s="17"/>
      <c r="N132" s="17"/>
    </row>
    <row r="133" spans="2:14" x14ac:dyDescent="0.25">
      <c r="B133" s="2" t="s">
        <v>10</v>
      </c>
      <c r="F133" s="16"/>
      <c r="G133" s="16"/>
      <c r="H133" s="16"/>
      <c r="L133" s="17"/>
      <c r="N133" s="17"/>
    </row>
    <row r="134" spans="2:14" x14ac:dyDescent="0.25">
      <c r="B134" s="1" t="s">
        <v>198</v>
      </c>
      <c r="C134" s="1" t="s">
        <v>184</v>
      </c>
      <c r="E134" s="62">
        <f>'Sheep parameter'!C21*E143</f>
        <v>6.1453928871055323</v>
      </c>
      <c r="F134" s="17" t="str">
        <f ca="1">_xlfn.FORMULATEXT(E134)</f>
        <v>='Sheep parameter'!C21*E143</v>
      </c>
      <c r="G134" s="17"/>
      <c r="H134" s="16"/>
      <c r="I134" s="25">
        <f>E134</f>
        <v>6.1453928871055323</v>
      </c>
      <c r="J134" s="17" t="str">
        <f ca="1">_xlfn.FORMULATEXT(I134)</f>
        <v>=E134</v>
      </c>
    </row>
    <row r="135" spans="2:14" x14ac:dyDescent="0.25">
      <c r="F135" s="16"/>
      <c r="G135" s="16"/>
      <c r="H135" s="16"/>
    </row>
    <row r="136" spans="2:14" x14ac:dyDescent="0.25">
      <c r="B136" s="2" t="s">
        <v>0</v>
      </c>
      <c r="F136" s="16"/>
      <c r="G136" s="16"/>
      <c r="H136" s="16"/>
    </row>
    <row r="137" spans="2:14" x14ac:dyDescent="0.25">
      <c r="B137" s="1" t="s">
        <v>284</v>
      </c>
      <c r="C137" s="1" t="s">
        <v>185</v>
      </c>
      <c r="E137" s="62">
        <f>'Sheep parameter'!C22*E143</f>
        <v>3.1913842890118858</v>
      </c>
      <c r="F137" s="17" t="str">
        <f ca="1">_xlfn.FORMULATEXT(E137)</f>
        <v>='Sheep parameter'!C22*E143</v>
      </c>
      <c r="G137" s="17"/>
      <c r="H137" s="16"/>
      <c r="I137" s="25">
        <f>E137</f>
        <v>3.1913842890118858</v>
      </c>
      <c r="J137" s="17" t="str">
        <f ca="1">_xlfn.FORMULATEXT(I137)</f>
        <v>=E137</v>
      </c>
    </row>
    <row r="138" spans="2:14" x14ac:dyDescent="0.25">
      <c r="B138" s="1" t="s">
        <v>283</v>
      </c>
      <c r="C138" s="1" t="s">
        <v>6</v>
      </c>
      <c r="E138" s="10"/>
      <c r="F138" s="16"/>
      <c r="G138" s="16"/>
      <c r="I138" s="10"/>
      <c r="M138" s="54">
        <f>'Partial Budget'!I25*'Partial Budget'!I24/100</f>
        <v>0.2</v>
      </c>
      <c r="N138" s="17" t="str">
        <f ca="1">_xlfn.FORMULATEXT(M138)</f>
        <v>='Partial Budget'!I25*'Partial Budget'!I24/100</v>
      </c>
    </row>
    <row r="139" spans="2:14" x14ac:dyDescent="0.25">
      <c r="E139" s="10"/>
      <c r="F139" s="16"/>
      <c r="G139" s="16"/>
      <c r="I139" s="10"/>
    </row>
    <row r="140" spans="2:14" x14ac:dyDescent="0.25">
      <c r="B140" s="2" t="s">
        <v>272</v>
      </c>
    </row>
    <row r="141" spans="2:14" x14ac:dyDescent="0.25">
      <c r="B141" s="1" t="s">
        <v>362</v>
      </c>
      <c r="C141" s="1" t="s">
        <v>6</v>
      </c>
      <c r="E141" s="62">
        <f>'Sheep parameter'!C24*E143</f>
        <v>3.1781967506275395</v>
      </c>
      <c r="F141" s="17" t="str">
        <f ca="1">_xlfn.FORMULATEXT(E141)</f>
        <v>='Sheep parameter'!C24*E143</v>
      </c>
      <c r="G141" s="17"/>
      <c r="H141" s="16"/>
      <c r="I141" s="25">
        <f>E141</f>
        <v>3.1781967506275395</v>
      </c>
      <c r="J141" s="17" t="str">
        <f ca="1">_xlfn.FORMULATEXT(I141)</f>
        <v>=E141</v>
      </c>
    </row>
    <row r="143" spans="2:14" x14ac:dyDescent="0.25">
      <c r="B143" s="1" t="s">
        <v>527</v>
      </c>
      <c r="E143" s="125">
        <f>'Sheep parameter'!C2/'Sheep GM'!E65</f>
        <v>0.65937691921733177</v>
      </c>
      <c r="F143" s="17" t="str">
        <f ca="1">_xlfn.FORMULATEXT(E143)</f>
        <v>='Sheep parameter'!C2/'Sheep GM'!E65</v>
      </c>
    </row>
    <row r="144" spans="2:14" x14ac:dyDescent="0.25">
      <c r="E144" s="126"/>
    </row>
  </sheetData>
  <mergeCells count="2">
    <mergeCell ref="E2:F2"/>
    <mergeCell ref="I2:N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3C6EC-F179-4080-AAFC-3240628A43E4}">
  <sheetPr codeName="Sheet9"/>
  <dimension ref="A1:O17"/>
  <sheetViews>
    <sheetView topLeftCell="C1" workbookViewId="0">
      <selection activeCell="P11" sqref="P11"/>
    </sheetView>
  </sheetViews>
  <sheetFormatPr defaultRowHeight="15" x14ac:dyDescent="0.25"/>
  <cols>
    <col min="2" max="2" width="21.7109375" bestFit="1" customWidth="1"/>
    <col min="3" max="3" width="42.28515625" bestFit="1" customWidth="1"/>
    <col min="4" max="4" width="20.5703125" bestFit="1" customWidth="1"/>
    <col min="5" max="12" width="19.28515625" customWidth="1"/>
    <col min="13" max="13" width="16.7109375" customWidth="1"/>
  </cols>
  <sheetData>
    <row r="1" spans="1:15" x14ac:dyDescent="0.25">
      <c r="A1" t="s">
        <v>303</v>
      </c>
      <c r="B1" t="s">
        <v>302</v>
      </c>
      <c r="C1" t="s">
        <v>301</v>
      </c>
      <c r="D1" t="s">
        <v>62</v>
      </c>
      <c r="E1" t="s">
        <v>287</v>
      </c>
      <c r="F1" t="s">
        <v>288</v>
      </c>
      <c r="G1" t="s">
        <v>285</v>
      </c>
      <c r="H1" t="s">
        <v>286</v>
      </c>
      <c r="I1" t="s">
        <v>263</v>
      </c>
      <c r="J1" t="s">
        <v>264</v>
      </c>
      <c r="K1" t="s">
        <v>265</v>
      </c>
      <c r="L1" t="s">
        <v>266</v>
      </c>
      <c r="M1" t="s">
        <v>267</v>
      </c>
      <c r="N1" t="s">
        <v>358</v>
      </c>
      <c r="O1" t="s">
        <v>359</v>
      </c>
    </row>
    <row r="2" spans="1:15" x14ac:dyDescent="0.25">
      <c r="A2">
        <v>1</v>
      </c>
      <c r="B2" t="s">
        <v>53</v>
      </c>
      <c r="C2" t="s">
        <v>109</v>
      </c>
      <c r="D2" t="s">
        <v>13</v>
      </c>
      <c r="E2">
        <v>7.5</v>
      </c>
      <c r="F2">
        <v>3</v>
      </c>
      <c r="G2">
        <v>7.5</v>
      </c>
      <c r="H2">
        <v>3</v>
      </c>
      <c r="I2">
        <v>67</v>
      </c>
      <c r="J2">
        <v>31</v>
      </c>
      <c r="K2">
        <v>7</v>
      </c>
      <c r="L2">
        <v>24</v>
      </c>
      <c r="M2">
        <v>29</v>
      </c>
      <c r="N2">
        <v>16</v>
      </c>
      <c r="O2">
        <v>77</v>
      </c>
    </row>
    <row r="4" spans="1:15" x14ac:dyDescent="0.25">
      <c r="A4">
        <v>2</v>
      </c>
      <c r="B4" t="s">
        <v>54</v>
      </c>
      <c r="C4" t="s">
        <v>71</v>
      </c>
      <c r="D4" t="s">
        <v>66</v>
      </c>
      <c r="E4">
        <v>10</v>
      </c>
      <c r="F4">
        <v>10</v>
      </c>
      <c r="G4">
        <v>4.8</v>
      </c>
      <c r="H4">
        <v>0.8</v>
      </c>
      <c r="I4">
        <v>0.78</v>
      </c>
      <c r="J4">
        <v>2</v>
      </c>
      <c r="K4">
        <v>3</v>
      </c>
      <c r="L4">
        <v>0</v>
      </c>
      <c r="M4">
        <v>0</v>
      </c>
      <c r="N4">
        <v>0</v>
      </c>
      <c r="O4">
        <v>0</v>
      </c>
    </row>
    <row r="5" spans="1:15" x14ac:dyDescent="0.25">
      <c r="A5">
        <v>3</v>
      </c>
      <c r="B5" t="s">
        <v>54</v>
      </c>
      <c r="C5" t="s">
        <v>67</v>
      </c>
      <c r="D5" t="s">
        <v>66</v>
      </c>
      <c r="E5">
        <v>30</v>
      </c>
      <c r="F5">
        <v>30</v>
      </c>
      <c r="G5">
        <v>7</v>
      </c>
      <c r="H5">
        <v>2</v>
      </c>
      <c r="I5">
        <v>0</v>
      </c>
      <c r="J5">
        <v>0</v>
      </c>
      <c r="K5">
        <v>0</v>
      </c>
      <c r="L5">
        <v>0</v>
      </c>
      <c r="M5">
        <v>0</v>
      </c>
      <c r="N5">
        <v>2.5</v>
      </c>
      <c r="O5">
        <v>2.5</v>
      </c>
    </row>
    <row r="7" spans="1:15" x14ac:dyDescent="0.25">
      <c r="A7">
        <v>4</v>
      </c>
      <c r="B7" t="s">
        <v>48</v>
      </c>
      <c r="C7" t="s">
        <v>310</v>
      </c>
      <c r="D7" t="s">
        <v>66</v>
      </c>
      <c r="E7">
        <v>30</v>
      </c>
      <c r="F7">
        <v>30</v>
      </c>
      <c r="G7">
        <v>3</v>
      </c>
      <c r="H7">
        <v>1.5</v>
      </c>
      <c r="I7">
        <v>1.05</v>
      </c>
      <c r="J7">
        <v>0</v>
      </c>
      <c r="K7">
        <v>0</v>
      </c>
      <c r="L7">
        <v>10</v>
      </c>
      <c r="M7">
        <v>23</v>
      </c>
      <c r="N7">
        <v>8.5</v>
      </c>
      <c r="O7">
        <v>8.5</v>
      </c>
    </row>
    <row r="8" spans="1:15" x14ac:dyDescent="0.25">
      <c r="A8">
        <v>5</v>
      </c>
      <c r="B8" t="s">
        <v>48</v>
      </c>
      <c r="C8" t="s">
        <v>309</v>
      </c>
      <c r="D8" t="s">
        <v>66</v>
      </c>
      <c r="E8">
        <v>0</v>
      </c>
      <c r="F8">
        <v>0</v>
      </c>
      <c r="G8">
        <v>0</v>
      </c>
      <c r="H8">
        <v>0</v>
      </c>
      <c r="I8">
        <v>0</v>
      </c>
      <c r="J8">
        <v>0</v>
      </c>
      <c r="K8">
        <v>0</v>
      </c>
      <c r="L8">
        <v>0</v>
      </c>
      <c r="M8">
        <v>15</v>
      </c>
      <c r="N8">
        <v>32</v>
      </c>
      <c r="O8">
        <v>32</v>
      </c>
    </row>
    <row r="10" spans="1:15" x14ac:dyDescent="0.25">
      <c r="A10">
        <v>6</v>
      </c>
      <c r="B10" t="s">
        <v>55</v>
      </c>
      <c r="C10" t="s">
        <v>308</v>
      </c>
      <c r="D10" t="s">
        <v>72</v>
      </c>
      <c r="E10">
        <v>5</v>
      </c>
      <c r="F10">
        <v>5</v>
      </c>
      <c r="G10">
        <v>5</v>
      </c>
      <c r="H10">
        <v>5</v>
      </c>
      <c r="I10">
        <v>0</v>
      </c>
      <c r="J10">
        <v>0</v>
      </c>
      <c r="K10">
        <v>15</v>
      </c>
      <c r="L10">
        <v>0</v>
      </c>
      <c r="M10">
        <v>0</v>
      </c>
      <c r="N10">
        <v>6.7</v>
      </c>
      <c r="O10">
        <v>0</v>
      </c>
    </row>
    <row r="12" spans="1:15" x14ac:dyDescent="0.25">
      <c r="A12">
        <v>7</v>
      </c>
      <c r="B12" t="s">
        <v>73</v>
      </c>
      <c r="C12" t="s">
        <v>307</v>
      </c>
      <c r="D12" t="s">
        <v>13</v>
      </c>
      <c r="E12">
        <v>0</v>
      </c>
      <c r="F12">
        <v>0</v>
      </c>
      <c r="G12">
        <v>0</v>
      </c>
      <c r="H12">
        <v>0</v>
      </c>
      <c r="I12">
        <v>0</v>
      </c>
      <c r="J12">
        <v>0</v>
      </c>
      <c r="K12">
        <v>25</v>
      </c>
      <c r="L12">
        <v>0</v>
      </c>
      <c r="M12">
        <v>0</v>
      </c>
      <c r="N12">
        <v>0.2</v>
      </c>
      <c r="O12">
        <v>0.2</v>
      </c>
    </row>
    <row r="13" spans="1:15" x14ac:dyDescent="0.25">
      <c r="A13">
        <v>8</v>
      </c>
      <c r="B13" t="s">
        <v>73</v>
      </c>
      <c r="C13" t="s">
        <v>306</v>
      </c>
      <c r="D13" t="s">
        <v>66</v>
      </c>
      <c r="E13">
        <v>10</v>
      </c>
      <c r="F13">
        <v>10</v>
      </c>
      <c r="G13">
        <v>20</v>
      </c>
      <c r="H13">
        <v>20</v>
      </c>
      <c r="I13">
        <v>1.8</v>
      </c>
      <c r="J13">
        <v>0</v>
      </c>
      <c r="K13">
        <v>20</v>
      </c>
      <c r="L13">
        <v>2</v>
      </c>
      <c r="M13">
        <v>23</v>
      </c>
      <c r="N13">
        <v>0</v>
      </c>
      <c r="O13">
        <v>0</v>
      </c>
    </row>
    <row r="14" spans="1:15" x14ac:dyDescent="0.25">
      <c r="A14">
        <v>9</v>
      </c>
      <c r="B14" t="s">
        <v>73</v>
      </c>
      <c r="C14" t="s">
        <v>305</v>
      </c>
      <c r="D14" t="s">
        <v>66</v>
      </c>
      <c r="E14">
        <v>0</v>
      </c>
      <c r="F14">
        <v>0</v>
      </c>
      <c r="G14">
        <v>0</v>
      </c>
      <c r="H14">
        <v>0</v>
      </c>
    </row>
    <row r="16" spans="1:15" x14ac:dyDescent="0.25">
      <c r="A16">
        <v>10</v>
      </c>
      <c r="B16" t="s">
        <v>238</v>
      </c>
      <c r="C16" t="s">
        <v>304</v>
      </c>
      <c r="D16" t="s">
        <v>66</v>
      </c>
      <c r="E16">
        <v>2</v>
      </c>
      <c r="F16">
        <v>2</v>
      </c>
      <c r="G16">
        <v>1</v>
      </c>
      <c r="H16">
        <v>1</v>
      </c>
      <c r="N16">
        <v>0</v>
      </c>
      <c r="O16">
        <v>0</v>
      </c>
    </row>
    <row r="17" spans="1:15" x14ac:dyDescent="0.25">
      <c r="A17">
        <v>11</v>
      </c>
      <c r="B17" t="s">
        <v>238</v>
      </c>
      <c r="C17" t="s">
        <v>281</v>
      </c>
      <c r="D17" t="s">
        <v>282</v>
      </c>
      <c r="E17">
        <v>500</v>
      </c>
      <c r="F17">
        <v>500</v>
      </c>
      <c r="G17">
        <v>20</v>
      </c>
      <c r="H17">
        <v>20</v>
      </c>
      <c r="I17">
        <v>0</v>
      </c>
      <c r="J17">
        <v>0</v>
      </c>
      <c r="K17">
        <v>0</v>
      </c>
      <c r="L17">
        <v>0</v>
      </c>
      <c r="M17">
        <v>0</v>
      </c>
      <c r="N17">
        <v>0</v>
      </c>
      <c r="O1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FC23-D3C9-4FA9-AD6D-6919486B4ACE}">
  <sheetPr codeName="Sheet5"/>
  <dimension ref="A1:S38"/>
  <sheetViews>
    <sheetView workbookViewId="0">
      <selection activeCell="C2" sqref="C2:C38"/>
    </sheetView>
  </sheetViews>
  <sheetFormatPr defaultRowHeight="15" x14ac:dyDescent="0.25"/>
  <cols>
    <col min="1" max="1" width="51.5703125" bestFit="1" customWidth="1"/>
    <col min="2" max="2" width="22.7109375" bestFit="1" customWidth="1"/>
    <col min="3" max="3" width="16.140625" bestFit="1" customWidth="1"/>
    <col min="4" max="4" width="16.140625" customWidth="1"/>
    <col min="5" max="15" width="13.7109375" customWidth="1"/>
    <col min="16" max="17" width="16.140625" bestFit="1" customWidth="1"/>
    <col min="18" max="18" width="120" customWidth="1"/>
    <col min="19" max="19" width="31.140625" bestFit="1" customWidth="1"/>
  </cols>
  <sheetData>
    <row r="1" spans="1:19" x14ac:dyDescent="0.25">
      <c r="A1" t="s">
        <v>89</v>
      </c>
      <c r="B1" t="s">
        <v>62</v>
      </c>
      <c r="C1" t="s">
        <v>91</v>
      </c>
      <c r="D1" t="s">
        <v>84</v>
      </c>
      <c r="E1" t="s">
        <v>243</v>
      </c>
      <c r="F1" t="s">
        <v>244</v>
      </c>
      <c r="G1" t="s">
        <v>245</v>
      </c>
      <c r="H1" t="s">
        <v>96</v>
      </c>
      <c r="I1" t="s">
        <v>97</v>
      </c>
      <c r="J1" t="s">
        <v>98</v>
      </c>
      <c r="K1" t="s">
        <v>99</v>
      </c>
      <c r="L1" t="s">
        <v>100</v>
      </c>
      <c r="M1" t="s">
        <v>101</v>
      </c>
      <c r="N1" t="s">
        <v>102</v>
      </c>
      <c r="O1" t="s">
        <v>242</v>
      </c>
      <c r="P1" t="s">
        <v>57</v>
      </c>
      <c r="Q1" t="s">
        <v>58</v>
      </c>
      <c r="R1" t="s">
        <v>59</v>
      </c>
      <c r="S1" t="s">
        <v>60</v>
      </c>
    </row>
    <row r="2" spans="1:19" x14ac:dyDescent="0.25">
      <c r="A2" t="s">
        <v>383</v>
      </c>
      <c r="C2">
        <v>415</v>
      </c>
      <c r="D2">
        <v>415</v>
      </c>
      <c r="E2">
        <v>299.5</v>
      </c>
      <c r="F2">
        <v>360</v>
      </c>
      <c r="G2">
        <v>465</v>
      </c>
      <c r="H2">
        <v>230</v>
      </c>
      <c r="I2">
        <v>310</v>
      </c>
      <c r="J2">
        <v>377</v>
      </c>
      <c r="K2">
        <v>252</v>
      </c>
      <c r="L2">
        <v>325</v>
      </c>
      <c r="M2">
        <v>390</v>
      </c>
      <c r="N2">
        <v>780</v>
      </c>
      <c r="O2">
        <v>600</v>
      </c>
      <c r="R2" t="s">
        <v>37</v>
      </c>
      <c r="S2" t="s">
        <v>36</v>
      </c>
    </row>
    <row r="3" spans="1:19" x14ac:dyDescent="0.25">
      <c r="A3" t="s">
        <v>52</v>
      </c>
      <c r="B3" t="s">
        <v>3</v>
      </c>
      <c r="C3">
        <v>2.1000000000000001E-2</v>
      </c>
      <c r="D3">
        <v>2.1000000000000001E-2</v>
      </c>
      <c r="E3">
        <v>2.1000000000000001E-2</v>
      </c>
      <c r="F3">
        <v>2.1000000000000001E-2</v>
      </c>
      <c r="G3">
        <v>2.1000000000000001E-2</v>
      </c>
      <c r="H3">
        <v>2.1000000000000001E-2</v>
      </c>
      <c r="I3">
        <v>2.1000000000000001E-2</v>
      </c>
      <c r="J3">
        <v>2.1000000000000001E-2</v>
      </c>
      <c r="K3">
        <v>2.1000000000000001E-2</v>
      </c>
      <c r="L3">
        <v>2.1000000000000001E-2</v>
      </c>
      <c r="M3">
        <v>2.1000000000000001E-2</v>
      </c>
      <c r="N3">
        <v>2.1000000000000001E-2</v>
      </c>
      <c r="O3">
        <v>2.1000000000000001E-2</v>
      </c>
      <c r="R3" t="s">
        <v>381</v>
      </c>
      <c r="S3" t="s">
        <v>42</v>
      </c>
    </row>
    <row r="4" spans="1:19" x14ac:dyDescent="0.25">
      <c r="A4" t="s">
        <v>364</v>
      </c>
      <c r="B4" t="s">
        <v>3</v>
      </c>
      <c r="C4">
        <v>2.8000000000000001E-2</v>
      </c>
      <c r="D4">
        <v>2.8000000000000001E-2</v>
      </c>
      <c r="E4">
        <v>2.8000000000000001E-2</v>
      </c>
      <c r="F4">
        <v>2.8000000000000001E-2</v>
      </c>
      <c r="G4">
        <v>2.8000000000000001E-2</v>
      </c>
      <c r="H4">
        <v>2.8000000000000001E-2</v>
      </c>
      <c r="I4">
        <v>2.8000000000000001E-2</v>
      </c>
      <c r="J4">
        <v>2.8000000000000001E-2</v>
      </c>
      <c r="K4">
        <v>2.8000000000000001E-2</v>
      </c>
      <c r="L4">
        <v>2.8000000000000001E-2</v>
      </c>
      <c r="M4">
        <v>2.8000000000000001E-2</v>
      </c>
      <c r="N4">
        <v>2.8000000000000001E-2</v>
      </c>
      <c r="O4">
        <v>2.8000000000000001E-2</v>
      </c>
      <c r="R4" t="s">
        <v>382</v>
      </c>
      <c r="S4" t="s">
        <v>42</v>
      </c>
    </row>
    <row r="5" spans="1:19" x14ac:dyDescent="0.25">
      <c r="A5" t="s">
        <v>365</v>
      </c>
      <c r="B5" t="s">
        <v>3</v>
      </c>
      <c r="C5">
        <v>0.111</v>
      </c>
      <c r="D5">
        <v>0.111</v>
      </c>
      <c r="E5">
        <v>0.111</v>
      </c>
      <c r="F5">
        <v>0.111</v>
      </c>
      <c r="G5">
        <v>0.111</v>
      </c>
      <c r="H5">
        <v>0.111</v>
      </c>
      <c r="I5">
        <v>0.111</v>
      </c>
      <c r="J5">
        <v>0.111</v>
      </c>
      <c r="K5">
        <v>0.111</v>
      </c>
      <c r="L5">
        <v>0.111</v>
      </c>
      <c r="M5">
        <v>0.111</v>
      </c>
      <c r="N5">
        <v>0.111</v>
      </c>
      <c r="O5">
        <v>0.111</v>
      </c>
      <c r="R5" t="s">
        <v>41</v>
      </c>
      <c r="S5" t="s">
        <v>25</v>
      </c>
    </row>
    <row r="6" spans="1:19" x14ac:dyDescent="0.25">
      <c r="A6" t="s">
        <v>38</v>
      </c>
      <c r="B6" t="s">
        <v>3</v>
      </c>
      <c r="C6">
        <v>0.16</v>
      </c>
      <c r="D6">
        <v>0.16</v>
      </c>
      <c r="E6">
        <v>0.16</v>
      </c>
      <c r="F6">
        <v>0.16</v>
      </c>
      <c r="G6">
        <v>0.16</v>
      </c>
      <c r="H6">
        <v>0.16</v>
      </c>
      <c r="I6">
        <v>0.16</v>
      </c>
      <c r="J6">
        <v>0.16</v>
      </c>
      <c r="K6">
        <v>0.16</v>
      </c>
      <c r="L6">
        <v>0.16</v>
      </c>
      <c r="M6">
        <v>0.16</v>
      </c>
      <c r="N6">
        <v>0.16</v>
      </c>
      <c r="O6">
        <v>0.16</v>
      </c>
      <c r="P6">
        <v>0.13</v>
      </c>
      <c r="Q6">
        <v>0.21</v>
      </c>
      <c r="R6" t="s">
        <v>40</v>
      </c>
      <c r="S6" t="s">
        <v>31</v>
      </c>
    </row>
    <row r="7" spans="1:19" x14ac:dyDescent="0.25">
      <c r="A7" t="s">
        <v>387</v>
      </c>
      <c r="B7" t="s">
        <v>3</v>
      </c>
      <c r="C7">
        <v>3.5999999999999997E-2</v>
      </c>
      <c r="D7">
        <v>3.5999999999999997E-2</v>
      </c>
      <c r="E7">
        <v>3.5999999999999997E-2</v>
      </c>
      <c r="F7">
        <v>3.5999999999999997E-2</v>
      </c>
      <c r="G7">
        <v>3.5999999999999997E-2</v>
      </c>
      <c r="H7">
        <v>3.5999999999999997E-2</v>
      </c>
      <c r="I7">
        <v>3.5999999999999997E-2</v>
      </c>
      <c r="J7">
        <v>3.5999999999999997E-2</v>
      </c>
      <c r="K7">
        <v>3.5999999999999997E-2</v>
      </c>
      <c r="L7">
        <v>3.5999999999999997E-2</v>
      </c>
      <c r="M7">
        <v>3.5999999999999997E-2</v>
      </c>
      <c r="N7">
        <v>3.5999999999999997E-2</v>
      </c>
      <c r="O7">
        <v>3.5999999999999997E-2</v>
      </c>
      <c r="R7" t="s">
        <v>33</v>
      </c>
      <c r="S7" t="s">
        <v>32</v>
      </c>
    </row>
    <row r="8" spans="1:19" x14ac:dyDescent="0.25">
      <c r="A8" t="s">
        <v>1</v>
      </c>
      <c r="B8" t="s">
        <v>3</v>
      </c>
      <c r="C8">
        <v>0.219</v>
      </c>
      <c r="D8">
        <v>0.219</v>
      </c>
      <c r="E8">
        <v>0.219</v>
      </c>
      <c r="F8">
        <v>0.219</v>
      </c>
      <c r="G8">
        <v>0.219</v>
      </c>
      <c r="H8">
        <v>0.219</v>
      </c>
      <c r="I8">
        <v>0.219</v>
      </c>
      <c r="J8">
        <v>0.219</v>
      </c>
      <c r="K8">
        <v>0.219</v>
      </c>
      <c r="L8">
        <v>0.219</v>
      </c>
      <c r="M8">
        <v>0.219</v>
      </c>
      <c r="N8">
        <v>0.219</v>
      </c>
      <c r="O8">
        <v>0.219</v>
      </c>
      <c r="P8">
        <v>0.193</v>
      </c>
      <c r="Q8">
        <v>0.24199999999999999</v>
      </c>
      <c r="R8" t="s">
        <v>26</v>
      </c>
      <c r="S8" t="s">
        <v>42</v>
      </c>
    </row>
    <row r="9" spans="1:19" x14ac:dyDescent="0.25">
      <c r="A9" t="s">
        <v>375</v>
      </c>
      <c r="B9" t="s">
        <v>3</v>
      </c>
      <c r="C9">
        <v>0.35</v>
      </c>
      <c r="D9">
        <v>0.35</v>
      </c>
      <c r="E9">
        <v>0.35</v>
      </c>
      <c r="F9">
        <v>0.35</v>
      </c>
      <c r="G9">
        <v>0.35</v>
      </c>
      <c r="H9">
        <v>0.35</v>
      </c>
      <c r="I9">
        <v>0.35</v>
      </c>
      <c r="J9">
        <v>0.35</v>
      </c>
      <c r="K9">
        <v>0.35</v>
      </c>
      <c r="L9">
        <v>0.35</v>
      </c>
      <c r="M9">
        <v>0.35</v>
      </c>
      <c r="N9">
        <v>0.35</v>
      </c>
      <c r="O9">
        <v>0.35</v>
      </c>
      <c r="R9" t="s">
        <v>375</v>
      </c>
      <c r="S9" t="s">
        <v>376</v>
      </c>
    </row>
    <row r="10" spans="1:19" x14ac:dyDescent="0.25">
      <c r="A10" t="s">
        <v>432</v>
      </c>
    </row>
    <row r="11" spans="1:19" x14ac:dyDescent="0.25">
      <c r="A11" t="s">
        <v>432</v>
      </c>
    </row>
    <row r="12" spans="1:19" x14ac:dyDescent="0.25">
      <c r="A12" t="s">
        <v>385</v>
      </c>
      <c r="B12" t="s">
        <v>3</v>
      </c>
      <c r="C12">
        <v>0.28000000000000003</v>
      </c>
      <c r="D12">
        <v>0.28000000000000003</v>
      </c>
      <c r="E12">
        <v>0.28000000000000003</v>
      </c>
      <c r="F12">
        <v>0.28000000000000003</v>
      </c>
      <c r="G12">
        <v>0.28000000000000003</v>
      </c>
      <c r="H12">
        <v>0.28000000000000003</v>
      </c>
      <c r="I12">
        <v>0.28000000000000003</v>
      </c>
      <c r="J12">
        <v>0.28000000000000003</v>
      </c>
      <c r="K12">
        <v>0.28000000000000003</v>
      </c>
      <c r="L12">
        <v>0.28000000000000003</v>
      </c>
      <c r="M12">
        <v>0.28000000000000003</v>
      </c>
      <c r="N12">
        <v>0.28000000000000003</v>
      </c>
      <c r="O12">
        <v>0.28000000000000003</v>
      </c>
      <c r="R12" t="s">
        <v>386</v>
      </c>
      <c r="S12" t="s">
        <v>376</v>
      </c>
    </row>
    <row r="13" spans="1:19" x14ac:dyDescent="0.25">
      <c r="A13" t="s">
        <v>432</v>
      </c>
      <c r="C13">
        <v>0</v>
      </c>
      <c r="D13">
        <v>0</v>
      </c>
      <c r="E13">
        <v>0</v>
      </c>
      <c r="F13">
        <v>0</v>
      </c>
      <c r="G13">
        <v>0</v>
      </c>
      <c r="H13">
        <v>0</v>
      </c>
      <c r="I13">
        <v>0</v>
      </c>
      <c r="J13">
        <v>0</v>
      </c>
      <c r="K13">
        <v>0</v>
      </c>
      <c r="L13">
        <v>0</v>
      </c>
      <c r="M13">
        <v>0</v>
      </c>
      <c r="N13">
        <v>0</v>
      </c>
      <c r="O13">
        <v>0</v>
      </c>
      <c r="P13">
        <v>0</v>
      </c>
      <c r="Q13">
        <v>0</v>
      </c>
    </row>
    <row r="14" spans="1:19" x14ac:dyDescent="0.25">
      <c r="A14" t="s">
        <v>388</v>
      </c>
      <c r="B14" t="s">
        <v>370</v>
      </c>
      <c r="C14">
        <v>409</v>
      </c>
      <c r="D14">
        <v>409</v>
      </c>
      <c r="E14">
        <v>345.79903846153837</v>
      </c>
      <c r="F14">
        <v>391.18691588785049</v>
      </c>
      <c r="G14">
        <v>448.10755555555562</v>
      </c>
      <c r="H14">
        <v>316</v>
      </c>
      <c r="I14">
        <v>377</v>
      </c>
      <c r="J14">
        <v>370</v>
      </c>
      <c r="K14">
        <v>398</v>
      </c>
      <c r="L14">
        <v>381</v>
      </c>
      <c r="M14">
        <v>390</v>
      </c>
      <c r="N14">
        <v>465</v>
      </c>
      <c r="O14">
        <v>433</v>
      </c>
      <c r="P14">
        <v>336</v>
      </c>
      <c r="Q14">
        <v>446</v>
      </c>
      <c r="R14" t="s">
        <v>22</v>
      </c>
      <c r="S14" t="s">
        <v>36</v>
      </c>
    </row>
    <row r="15" spans="1:19" x14ac:dyDescent="0.25">
      <c r="A15" t="s">
        <v>4</v>
      </c>
      <c r="B15" t="s">
        <v>5</v>
      </c>
      <c r="C15">
        <v>7.05</v>
      </c>
      <c r="D15">
        <v>7.05</v>
      </c>
      <c r="E15">
        <v>7.0176204275935934</v>
      </c>
      <c r="F15">
        <v>7.0486897426798718</v>
      </c>
      <c r="G15">
        <v>7.0327862963877603</v>
      </c>
      <c r="H15">
        <v>7.083385007780417</v>
      </c>
      <c r="I15">
        <v>7.0461304494761743</v>
      </c>
      <c r="J15">
        <v>6.9967860546952814</v>
      </c>
      <c r="K15">
        <v>7.0328152760062137</v>
      </c>
      <c r="L15">
        <v>7.0166504229135986</v>
      </c>
      <c r="M15">
        <v>6.9953558989063573</v>
      </c>
      <c r="N15">
        <v>7.0145332261255984</v>
      </c>
      <c r="O15">
        <v>7.0660575703656372</v>
      </c>
      <c r="P15">
        <v>6.6</v>
      </c>
      <c r="Q15">
        <v>7.4</v>
      </c>
      <c r="R15" t="s">
        <v>21</v>
      </c>
      <c r="S15" t="s">
        <v>36</v>
      </c>
    </row>
    <row r="16" spans="1:19" x14ac:dyDescent="0.25">
      <c r="A16" t="s">
        <v>50</v>
      </c>
      <c r="B16" t="s">
        <v>371</v>
      </c>
      <c r="C16">
        <v>1525</v>
      </c>
      <c r="D16">
        <v>1525</v>
      </c>
      <c r="E16">
        <v>1525</v>
      </c>
      <c r="F16">
        <v>1525</v>
      </c>
      <c r="G16">
        <v>1525</v>
      </c>
      <c r="H16">
        <v>1525</v>
      </c>
      <c r="I16">
        <v>1525</v>
      </c>
      <c r="J16">
        <v>1525</v>
      </c>
      <c r="K16">
        <v>1525</v>
      </c>
      <c r="L16">
        <v>1525</v>
      </c>
      <c r="M16">
        <v>1525</v>
      </c>
      <c r="N16">
        <v>1525</v>
      </c>
      <c r="O16">
        <v>1525</v>
      </c>
      <c r="R16" t="s">
        <v>414</v>
      </c>
      <c r="S16" t="s">
        <v>412</v>
      </c>
    </row>
    <row r="17" spans="1:19" x14ac:dyDescent="0.25">
      <c r="A17" t="s">
        <v>278</v>
      </c>
      <c r="B17" t="s">
        <v>371</v>
      </c>
      <c r="C17">
        <v>1222</v>
      </c>
      <c r="D17">
        <v>1222</v>
      </c>
      <c r="E17">
        <v>1222</v>
      </c>
      <c r="F17">
        <v>1222</v>
      </c>
      <c r="G17">
        <v>1222</v>
      </c>
      <c r="H17">
        <v>1222</v>
      </c>
      <c r="I17">
        <v>1222</v>
      </c>
      <c r="J17">
        <v>1222</v>
      </c>
      <c r="K17">
        <v>1222</v>
      </c>
      <c r="L17">
        <v>1222</v>
      </c>
      <c r="M17">
        <v>1222</v>
      </c>
      <c r="N17">
        <v>1222</v>
      </c>
      <c r="O17">
        <v>1222</v>
      </c>
      <c r="R17" t="s">
        <v>416</v>
      </c>
      <c r="S17" t="s">
        <v>412</v>
      </c>
    </row>
    <row r="18" spans="1:19" x14ac:dyDescent="0.25">
      <c r="A18" t="s">
        <v>415</v>
      </c>
      <c r="B18" t="s">
        <v>371</v>
      </c>
      <c r="C18">
        <v>602</v>
      </c>
      <c r="D18" s="80">
        <v>602</v>
      </c>
      <c r="E18" s="80">
        <v>602</v>
      </c>
      <c r="F18" s="80">
        <v>602</v>
      </c>
      <c r="G18" s="80">
        <v>602</v>
      </c>
      <c r="H18" s="80">
        <v>602</v>
      </c>
      <c r="I18" s="80">
        <v>602</v>
      </c>
      <c r="J18" s="80">
        <v>602</v>
      </c>
      <c r="K18" s="80">
        <v>602</v>
      </c>
      <c r="L18" s="80">
        <v>602</v>
      </c>
      <c r="M18" s="80">
        <v>602</v>
      </c>
      <c r="N18" s="80">
        <v>602</v>
      </c>
      <c r="O18" s="80">
        <v>602</v>
      </c>
      <c r="R18" t="s">
        <v>413</v>
      </c>
      <c r="S18" t="s">
        <v>412</v>
      </c>
    </row>
    <row r="19" spans="1:19" x14ac:dyDescent="0.25">
      <c r="A19" t="s">
        <v>51</v>
      </c>
      <c r="B19" t="s">
        <v>371</v>
      </c>
      <c r="C19">
        <v>926.74</v>
      </c>
      <c r="D19">
        <v>926.74</v>
      </c>
      <c r="E19">
        <v>926.74</v>
      </c>
      <c r="F19">
        <v>926.74</v>
      </c>
      <c r="G19">
        <v>926.74</v>
      </c>
      <c r="H19">
        <v>926.74</v>
      </c>
      <c r="I19">
        <v>926.74</v>
      </c>
      <c r="J19">
        <v>926.74</v>
      </c>
      <c r="K19">
        <v>926.74</v>
      </c>
      <c r="L19">
        <v>926.74</v>
      </c>
      <c r="M19">
        <v>926.74</v>
      </c>
      <c r="N19">
        <v>926.74</v>
      </c>
      <c r="O19">
        <v>926.74</v>
      </c>
      <c r="R19" t="s">
        <v>411</v>
      </c>
      <c r="S19" t="s">
        <v>44</v>
      </c>
    </row>
    <row r="20" spans="1:19" x14ac:dyDescent="0.25">
      <c r="A20" t="s">
        <v>366</v>
      </c>
      <c r="B20" t="s">
        <v>371</v>
      </c>
      <c r="C20">
        <v>908.08</v>
      </c>
      <c r="D20">
        <v>908.08</v>
      </c>
      <c r="E20">
        <v>908.08</v>
      </c>
      <c r="F20">
        <v>908.08</v>
      </c>
      <c r="G20">
        <v>908.08</v>
      </c>
      <c r="H20">
        <v>908.08</v>
      </c>
      <c r="I20">
        <v>908.08</v>
      </c>
      <c r="J20">
        <v>908.08</v>
      </c>
      <c r="K20">
        <v>908.08</v>
      </c>
      <c r="L20">
        <v>908.08</v>
      </c>
      <c r="M20">
        <v>908.08</v>
      </c>
      <c r="N20">
        <v>908.08</v>
      </c>
      <c r="O20">
        <v>908.08</v>
      </c>
      <c r="R20" t="s">
        <v>417</v>
      </c>
      <c r="S20" t="s">
        <v>44</v>
      </c>
    </row>
    <row r="21" spans="1:19" x14ac:dyDescent="0.25">
      <c r="A21" t="s">
        <v>46</v>
      </c>
      <c r="B21" t="s">
        <v>371</v>
      </c>
      <c r="C21">
        <v>30</v>
      </c>
      <c r="D21">
        <v>30</v>
      </c>
      <c r="E21">
        <v>30</v>
      </c>
      <c r="F21">
        <v>30</v>
      </c>
      <c r="G21">
        <v>30</v>
      </c>
      <c r="H21">
        <v>30</v>
      </c>
      <c r="I21">
        <v>30</v>
      </c>
      <c r="J21">
        <v>30</v>
      </c>
      <c r="K21">
        <v>30</v>
      </c>
      <c r="L21">
        <v>30</v>
      </c>
      <c r="M21">
        <v>30</v>
      </c>
      <c r="N21">
        <v>30</v>
      </c>
      <c r="O21">
        <v>30</v>
      </c>
      <c r="R21" t="s">
        <v>422</v>
      </c>
      <c r="S21" t="s">
        <v>423</v>
      </c>
    </row>
    <row r="22" spans="1:19" x14ac:dyDescent="0.25">
      <c r="A22" t="s">
        <v>389</v>
      </c>
      <c r="B22" t="s">
        <v>371</v>
      </c>
      <c r="C22">
        <v>275</v>
      </c>
      <c r="D22">
        <v>275</v>
      </c>
      <c r="E22">
        <v>179.01535448166464</v>
      </c>
      <c r="F22">
        <v>228.04341605703664</v>
      </c>
      <c r="G22">
        <v>297.05369618162797</v>
      </c>
      <c r="H22">
        <v>125.27694649616834</v>
      </c>
      <c r="I22">
        <v>242.03738735801102</v>
      </c>
      <c r="J22">
        <v>226.88681442793089</v>
      </c>
      <c r="K22">
        <v>138.73563176237141</v>
      </c>
      <c r="L22">
        <v>263.63424268679256</v>
      </c>
      <c r="M22">
        <v>211.84702054088041</v>
      </c>
      <c r="N22">
        <v>357.26967763236371</v>
      </c>
      <c r="O22">
        <v>339.06734334849074</v>
      </c>
      <c r="R22" t="s">
        <v>23</v>
      </c>
      <c r="S22" t="s">
        <v>36</v>
      </c>
    </row>
    <row r="23" spans="1:19" x14ac:dyDescent="0.25">
      <c r="A23" t="s">
        <v>367</v>
      </c>
      <c r="B23" t="s">
        <v>371</v>
      </c>
      <c r="C23">
        <v>0</v>
      </c>
      <c r="D23">
        <v>0</v>
      </c>
      <c r="E23">
        <v>0</v>
      </c>
      <c r="F23">
        <v>0</v>
      </c>
      <c r="G23">
        <v>0</v>
      </c>
      <c r="H23">
        <v>0</v>
      </c>
      <c r="I23">
        <v>0</v>
      </c>
      <c r="J23">
        <v>0</v>
      </c>
      <c r="K23">
        <v>0</v>
      </c>
      <c r="L23">
        <v>0</v>
      </c>
      <c r="M23">
        <v>0</v>
      </c>
      <c r="N23">
        <v>0</v>
      </c>
      <c r="O23">
        <v>0</v>
      </c>
    </row>
    <row r="24" spans="1:19" x14ac:dyDescent="0.25">
      <c r="A24" t="s">
        <v>368</v>
      </c>
      <c r="B24" t="s">
        <v>371</v>
      </c>
      <c r="C24">
        <v>68.75</v>
      </c>
      <c r="D24">
        <v>68.75</v>
      </c>
      <c r="E24">
        <v>44.753838620416161</v>
      </c>
      <c r="F24">
        <v>57.010854014259159</v>
      </c>
      <c r="G24">
        <v>74.263424045406992</v>
      </c>
      <c r="H24">
        <v>31.319236624042084</v>
      </c>
      <c r="I24">
        <v>60.509346839502754</v>
      </c>
      <c r="J24">
        <v>56.721703606982722</v>
      </c>
      <c r="K24">
        <v>34.683907940592853</v>
      </c>
      <c r="L24">
        <v>65.90856067169814</v>
      </c>
      <c r="M24">
        <v>52.961755135220102</v>
      </c>
      <c r="N24">
        <v>89.317419408090927</v>
      </c>
      <c r="O24">
        <v>84.766835837122684</v>
      </c>
      <c r="R24" t="s">
        <v>433</v>
      </c>
    </row>
    <row r="25" spans="1:19" x14ac:dyDescent="0.25">
      <c r="A25" t="s">
        <v>390</v>
      </c>
      <c r="B25" t="s">
        <v>372</v>
      </c>
      <c r="C25">
        <v>98</v>
      </c>
      <c r="D25">
        <v>98</v>
      </c>
      <c r="E25">
        <v>73.647592364051008</v>
      </c>
      <c r="F25">
        <v>86.062830678351773</v>
      </c>
      <c r="G25">
        <v>112.0259020977773</v>
      </c>
      <c r="H25">
        <v>82.975813698595815</v>
      </c>
      <c r="I25">
        <v>99.246840692437587</v>
      </c>
      <c r="J25">
        <v>88.138000012809613</v>
      </c>
      <c r="K25">
        <v>93.186885639840682</v>
      </c>
      <c r="L25">
        <v>83.38144840378402</v>
      </c>
      <c r="M25">
        <v>72.928999701424175</v>
      </c>
      <c r="N25">
        <v>108.1362721922625</v>
      </c>
      <c r="O25">
        <v>95.508333333333326</v>
      </c>
      <c r="R25" t="s">
        <v>23</v>
      </c>
      <c r="S25" t="s">
        <v>36</v>
      </c>
    </row>
    <row r="26" spans="1:19" x14ac:dyDescent="0.25">
      <c r="A26" t="s">
        <v>432</v>
      </c>
    </row>
    <row r="27" spans="1:19" x14ac:dyDescent="0.25">
      <c r="A27" t="s">
        <v>432</v>
      </c>
    </row>
    <row r="28" spans="1:19" x14ac:dyDescent="0.25">
      <c r="A28" t="s">
        <v>391</v>
      </c>
      <c r="B28" t="s">
        <v>371</v>
      </c>
      <c r="C28">
        <v>69</v>
      </c>
      <c r="D28">
        <v>69</v>
      </c>
      <c r="E28">
        <v>61.714274117290074</v>
      </c>
      <c r="F28">
        <v>58.654557523921369</v>
      </c>
      <c r="G28">
        <v>72.337634408602156</v>
      </c>
      <c r="H28">
        <v>55.200211380193906</v>
      </c>
      <c r="I28">
        <v>70.217036346128225</v>
      </c>
      <c r="J28">
        <v>51.19546644432765</v>
      </c>
      <c r="K28">
        <v>68.103392600882572</v>
      </c>
      <c r="L28">
        <v>50.229867713416631</v>
      </c>
      <c r="M28">
        <v>54.366377949143029</v>
      </c>
      <c r="N28">
        <v>76.172381935921763</v>
      </c>
      <c r="O28">
        <v>72.977994310041211</v>
      </c>
      <c r="R28" t="s">
        <v>24</v>
      </c>
      <c r="S28" t="s">
        <v>36</v>
      </c>
    </row>
    <row r="29" spans="1:19" x14ac:dyDescent="0.25">
      <c r="A29" t="s">
        <v>392</v>
      </c>
      <c r="B29" t="s">
        <v>372</v>
      </c>
      <c r="C29">
        <v>423</v>
      </c>
      <c r="D29">
        <v>423</v>
      </c>
      <c r="E29">
        <v>250.26529857478934</v>
      </c>
      <c r="F29">
        <v>402.25991826223009</v>
      </c>
      <c r="G29">
        <v>546.01806812205064</v>
      </c>
      <c r="H29">
        <v>419.62570114845772</v>
      </c>
      <c r="I29">
        <v>535.11749061857086</v>
      </c>
      <c r="J29">
        <v>364.66576420122169</v>
      </c>
      <c r="K29">
        <v>432.50164222258485</v>
      </c>
      <c r="L29">
        <v>361.09377873219427</v>
      </c>
      <c r="M29">
        <v>273.89065458631757</v>
      </c>
      <c r="N29">
        <v>342.48608828012812</v>
      </c>
      <c r="O29">
        <v>404.86482258741194</v>
      </c>
      <c r="R29" t="s">
        <v>23</v>
      </c>
      <c r="S29" t="s">
        <v>36</v>
      </c>
    </row>
    <row r="30" spans="1:19" x14ac:dyDescent="0.25">
      <c r="A30" t="s">
        <v>393</v>
      </c>
      <c r="B30" t="s">
        <v>372</v>
      </c>
      <c r="C30">
        <v>175.3090764592701</v>
      </c>
      <c r="D30">
        <v>175.3090764592701</v>
      </c>
      <c r="E30" s="79">
        <v>45.479404767337172</v>
      </c>
      <c r="F30" s="79">
        <v>118.2265033480266</v>
      </c>
      <c r="G30" s="79">
        <v>172.37563372606655</v>
      </c>
      <c r="H30">
        <v>30.291323058373973</v>
      </c>
      <c r="I30">
        <v>124.89336448985799</v>
      </c>
      <c r="J30">
        <v>90.380164442223617</v>
      </c>
      <c r="K30">
        <v>135.77399047897438</v>
      </c>
      <c r="L30">
        <v>50.744251491246295</v>
      </c>
      <c r="M30">
        <v>108.45612775462662</v>
      </c>
      <c r="N30">
        <v>434.98469965926159</v>
      </c>
      <c r="O30">
        <v>251.34836292660461</v>
      </c>
      <c r="R30" t="s">
        <v>23</v>
      </c>
      <c r="S30" t="s">
        <v>36</v>
      </c>
    </row>
    <row r="31" spans="1:19" x14ac:dyDescent="0.25">
      <c r="A31" t="s">
        <v>410</v>
      </c>
      <c r="B31" t="s">
        <v>12</v>
      </c>
      <c r="C31">
        <v>306642.7842240131</v>
      </c>
      <c r="D31">
        <v>306642.7842240131</v>
      </c>
      <c r="E31">
        <v>188914.36137054369</v>
      </c>
      <c r="F31">
        <v>213645.17058985771</v>
      </c>
      <c r="G31">
        <v>322830.23476418422</v>
      </c>
      <c r="H31">
        <v>161796.23369259931</v>
      </c>
      <c r="I31">
        <v>198317.95670962983</v>
      </c>
      <c r="J31">
        <v>223242.85471662309</v>
      </c>
      <c r="K31">
        <v>170033.67877428856</v>
      </c>
      <c r="L31">
        <v>214444.4434444459</v>
      </c>
      <c r="M31">
        <v>284583.20708719053</v>
      </c>
      <c r="N31">
        <v>583426.66977226455</v>
      </c>
      <c r="O31">
        <v>412754.43244795949</v>
      </c>
      <c r="R31" t="s">
        <v>85</v>
      </c>
      <c r="S31" t="s">
        <v>36</v>
      </c>
    </row>
    <row r="32" spans="1:19" x14ac:dyDescent="0.25">
      <c r="A32" t="s">
        <v>369</v>
      </c>
      <c r="B32" t="s">
        <v>274</v>
      </c>
      <c r="C32">
        <v>125</v>
      </c>
      <c r="D32">
        <v>125</v>
      </c>
      <c r="E32">
        <v>125</v>
      </c>
      <c r="F32">
        <v>125</v>
      </c>
      <c r="G32">
        <v>125</v>
      </c>
      <c r="H32">
        <v>125</v>
      </c>
      <c r="I32">
        <v>125</v>
      </c>
      <c r="J32">
        <v>125</v>
      </c>
      <c r="K32">
        <v>125</v>
      </c>
      <c r="L32">
        <v>125</v>
      </c>
      <c r="M32">
        <v>125</v>
      </c>
      <c r="N32">
        <v>125</v>
      </c>
      <c r="O32">
        <v>125</v>
      </c>
    </row>
    <row r="33" spans="1:19" x14ac:dyDescent="0.25">
      <c r="A33" t="s">
        <v>353</v>
      </c>
      <c r="B33" t="s">
        <v>354</v>
      </c>
      <c r="C33">
        <v>142.14042029888671</v>
      </c>
      <c r="D33">
        <v>142.14042029888671</v>
      </c>
      <c r="E33">
        <v>117</v>
      </c>
      <c r="F33">
        <v>126.5</v>
      </c>
      <c r="G33">
        <v>150</v>
      </c>
      <c r="H33">
        <v>110</v>
      </c>
      <c r="I33">
        <v>109</v>
      </c>
      <c r="J33">
        <v>129</v>
      </c>
      <c r="K33">
        <v>97</v>
      </c>
      <c r="L33">
        <v>138</v>
      </c>
      <c r="M33">
        <v>147.5</v>
      </c>
      <c r="N33">
        <v>210</v>
      </c>
      <c r="O33">
        <v>205</v>
      </c>
      <c r="R33" t="s">
        <v>23</v>
      </c>
      <c r="S33" t="s">
        <v>36</v>
      </c>
    </row>
    <row r="34" spans="1:19" x14ac:dyDescent="0.25">
      <c r="A34" t="s">
        <v>409</v>
      </c>
      <c r="B34" t="s">
        <v>12</v>
      </c>
      <c r="C34">
        <v>-146629.1660377653</v>
      </c>
      <c r="D34">
        <v>-146629.1660377653</v>
      </c>
      <c r="E34">
        <v>-121637.16446986029</v>
      </c>
      <c r="F34">
        <v>-132517.75677019102</v>
      </c>
      <c r="G34">
        <v>-195010.85715113135</v>
      </c>
      <c r="H34">
        <v>-109259.53415192774</v>
      </c>
      <c r="I34">
        <v>-113838.39494922383</v>
      </c>
      <c r="J34">
        <v>-157625.74436612692</v>
      </c>
      <c r="K34">
        <v>-125484.15280000004</v>
      </c>
      <c r="L34">
        <v>-134154.89211103789</v>
      </c>
      <c r="M34">
        <v>-152594.52209988827</v>
      </c>
      <c r="N34">
        <v>-247000.75930209088</v>
      </c>
      <c r="O34">
        <v>-137734.1855447421</v>
      </c>
      <c r="R34" t="s">
        <v>23</v>
      </c>
    </row>
    <row r="35" spans="1:19" x14ac:dyDescent="0.25">
      <c r="A35" t="s">
        <v>277</v>
      </c>
      <c r="B35" t="s">
        <v>371</v>
      </c>
      <c r="C35">
        <v>737</v>
      </c>
      <c r="D35">
        <v>737</v>
      </c>
      <c r="E35">
        <v>737</v>
      </c>
      <c r="F35">
        <v>737</v>
      </c>
      <c r="G35">
        <v>737</v>
      </c>
      <c r="H35">
        <v>737</v>
      </c>
      <c r="I35">
        <v>737</v>
      </c>
      <c r="J35">
        <v>737</v>
      </c>
      <c r="K35">
        <v>737</v>
      </c>
      <c r="L35">
        <v>737</v>
      </c>
      <c r="M35">
        <v>737</v>
      </c>
      <c r="N35">
        <v>737</v>
      </c>
      <c r="O35">
        <v>737</v>
      </c>
      <c r="R35" t="s">
        <v>418</v>
      </c>
      <c r="S35" t="s">
        <v>412</v>
      </c>
    </row>
    <row r="36" spans="1:19" x14ac:dyDescent="0.25">
      <c r="A36" t="s">
        <v>405</v>
      </c>
      <c r="B36" t="s">
        <v>12</v>
      </c>
      <c r="C36" s="81">
        <v>748282.06145185605</v>
      </c>
      <c r="D36" s="81">
        <v>748282.06145185605</v>
      </c>
      <c r="E36">
        <v>423586.61032804742</v>
      </c>
      <c r="F36">
        <v>574943.21063492016</v>
      </c>
      <c r="G36">
        <v>978032.12480198732</v>
      </c>
      <c r="H36">
        <v>355814.772</v>
      </c>
      <c r="I36">
        <v>543660.39784585487</v>
      </c>
      <c r="J36">
        <v>553302.81728272862</v>
      </c>
      <c r="K36">
        <v>410664.94319074339</v>
      </c>
      <c r="L36">
        <v>489566.8725659895</v>
      </c>
      <c r="M36">
        <v>594467.94114869973</v>
      </c>
      <c r="N36">
        <v>1609791.4102584859</v>
      </c>
      <c r="O36">
        <v>1187285.3180166341</v>
      </c>
    </row>
    <row r="37" spans="1:19" x14ac:dyDescent="0.25">
      <c r="A37" t="s">
        <v>404</v>
      </c>
      <c r="B37" t="s">
        <v>12</v>
      </c>
      <c r="C37" s="81">
        <v>1285741.8058328379</v>
      </c>
      <c r="D37" s="81">
        <v>1285741.8058328379</v>
      </c>
      <c r="E37">
        <v>764640.52717088256</v>
      </c>
      <c r="F37">
        <v>992591.74487510859</v>
      </c>
      <c r="G37">
        <v>1639486.3775129397</v>
      </c>
      <c r="H37">
        <v>597348.83317683882</v>
      </c>
      <c r="I37">
        <v>925797.51711668016</v>
      </c>
      <c r="J37">
        <v>974390.85961547436</v>
      </c>
      <c r="K37">
        <v>803101.87125185097</v>
      </c>
      <c r="L37">
        <v>908998.77891658514</v>
      </c>
      <c r="M37">
        <v>1037253.1271885622</v>
      </c>
      <c r="N37">
        <v>2699859.6875977502</v>
      </c>
      <c r="O37">
        <v>1970467.7831535551</v>
      </c>
    </row>
    <row r="38" spans="1:19" x14ac:dyDescent="0.25">
      <c r="A38" t="s">
        <v>406</v>
      </c>
      <c r="B38" t="s">
        <v>12</v>
      </c>
      <c r="C38" s="81">
        <v>390830.57834321703</v>
      </c>
      <c r="D38" s="81">
        <v>390830.57834321703</v>
      </c>
      <c r="E38">
        <v>236621.48268165486</v>
      </c>
      <c r="F38">
        <v>302489.55290074222</v>
      </c>
      <c r="G38">
        <v>495788.46718945075</v>
      </c>
      <c r="H38">
        <v>127110.8634764809</v>
      </c>
      <c r="I38">
        <v>272736.35115857667</v>
      </c>
      <c r="J38">
        <v>293505.71678395709</v>
      </c>
      <c r="K38">
        <v>268641.05928694934</v>
      </c>
      <c r="L38">
        <v>257921.54723314347</v>
      </c>
      <c r="M38">
        <v>285134.40382030263</v>
      </c>
      <c r="N38">
        <v>902156.44740964461</v>
      </c>
      <c r="O38">
        <v>667386.56182720943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B661A-A5FF-4D88-9E09-392F38C836D1}">
  <sheetPr codeName="Sheet6"/>
  <dimension ref="A1:W47"/>
  <sheetViews>
    <sheetView workbookViewId="0">
      <selection activeCell="C2" sqref="C2:C47"/>
    </sheetView>
  </sheetViews>
  <sheetFormatPr defaultColWidth="9.140625" defaultRowHeight="15" x14ac:dyDescent="0.25"/>
  <cols>
    <col min="1" max="1" width="35.42578125" customWidth="1"/>
    <col min="2" max="2" width="7.7109375" customWidth="1"/>
    <col min="3" max="20" width="13" customWidth="1"/>
    <col min="21" max="22" width="20.85546875" customWidth="1"/>
  </cols>
  <sheetData>
    <row r="1" spans="1:23" ht="15" customHeight="1" x14ac:dyDescent="0.25">
      <c r="A1" t="s">
        <v>89</v>
      </c>
      <c r="B1" t="s">
        <v>62</v>
      </c>
      <c r="C1" t="s">
        <v>91</v>
      </c>
      <c r="D1" t="s">
        <v>246</v>
      </c>
      <c r="E1" t="s">
        <v>247</v>
      </c>
      <c r="F1" t="s">
        <v>248</v>
      </c>
      <c r="G1" t="s">
        <v>249</v>
      </c>
      <c r="H1" t="s">
        <v>250</v>
      </c>
      <c r="I1" t="s">
        <v>251</v>
      </c>
      <c r="J1" t="s">
        <v>252</v>
      </c>
      <c r="K1" t="s">
        <v>253</v>
      </c>
      <c r="L1" t="s">
        <v>254</v>
      </c>
      <c r="M1" t="s">
        <v>255</v>
      </c>
      <c r="N1" t="s">
        <v>256</v>
      </c>
      <c r="O1" t="s">
        <v>257</v>
      </c>
      <c r="P1" t="s">
        <v>258</v>
      </c>
      <c r="Q1" t="s">
        <v>260</v>
      </c>
      <c r="R1" t="s">
        <v>259</v>
      </c>
      <c r="S1" t="s">
        <v>261</v>
      </c>
      <c r="T1" t="s">
        <v>262</v>
      </c>
      <c r="U1" t="s">
        <v>59</v>
      </c>
      <c r="V1" t="s">
        <v>60</v>
      </c>
      <c r="W1" t="s">
        <v>434</v>
      </c>
    </row>
    <row r="2" spans="1:23" ht="15" customHeight="1" x14ac:dyDescent="0.25">
      <c r="A2" t="s">
        <v>125</v>
      </c>
      <c r="B2" t="s">
        <v>124</v>
      </c>
      <c r="C2">
        <v>2479</v>
      </c>
      <c r="D2">
        <v>2116</v>
      </c>
      <c r="E2">
        <v>1935</v>
      </c>
      <c r="F2">
        <v>1476</v>
      </c>
      <c r="G2">
        <v>2599</v>
      </c>
      <c r="H2">
        <v>2479</v>
      </c>
      <c r="I2">
        <v>1511</v>
      </c>
      <c r="J2">
        <v>1134</v>
      </c>
      <c r="K2">
        <v>2403</v>
      </c>
      <c r="L2">
        <v>2898</v>
      </c>
      <c r="M2">
        <v>2529</v>
      </c>
      <c r="N2">
        <v>1512</v>
      </c>
      <c r="O2">
        <v>988</v>
      </c>
      <c r="P2">
        <v>430</v>
      </c>
      <c r="Q2">
        <v>2106</v>
      </c>
      <c r="R2">
        <v>1994</v>
      </c>
      <c r="S2">
        <v>1386</v>
      </c>
      <c r="T2">
        <v>2804</v>
      </c>
      <c r="U2" t="s">
        <v>121</v>
      </c>
      <c r="V2" t="s">
        <v>201</v>
      </c>
      <c r="W2" t="s">
        <v>125</v>
      </c>
    </row>
    <row r="3" spans="1:23" ht="15" customHeight="1" x14ac:dyDescent="0.25">
      <c r="A3" t="s">
        <v>435</v>
      </c>
      <c r="B3" t="s">
        <v>122</v>
      </c>
      <c r="C3">
        <v>11</v>
      </c>
      <c r="D3">
        <v>67</v>
      </c>
      <c r="E3">
        <v>101</v>
      </c>
      <c r="F3">
        <v>62</v>
      </c>
      <c r="G3">
        <v>61</v>
      </c>
      <c r="H3">
        <v>11</v>
      </c>
      <c r="I3">
        <v>32</v>
      </c>
      <c r="J3">
        <v>18</v>
      </c>
      <c r="K3">
        <v>152</v>
      </c>
      <c r="L3">
        <v>223</v>
      </c>
      <c r="M3">
        <v>210</v>
      </c>
      <c r="N3">
        <v>36</v>
      </c>
      <c r="O3">
        <v>78</v>
      </c>
      <c r="P3">
        <v>2</v>
      </c>
      <c r="Q3">
        <v>176</v>
      </c>
      <c r="R3">
        <v>173</v>
      </c>
      <c r="T3">
        <v>208</v>
      </c>
      <c r="U3" t="s">
        <v>121</v>
      </c>
      <c r="V3" t="s">
        <v>201</v>
      </c>
      <c r="W3" t="s">
        <v>130</v>
      </c>
    </row>
    <row r="4" spans="1:23" ht="15" customHeight="1" x14ac:dyDescent="0.25">
      <c r="A4" t="s">
        <v>436</v>
      </c>
      <c r="B4" t="s">
        <v>122</v>
      </c>
      <c r="C4">
        <v>10</v>
      </c>
      <c r="D4">
        <v>54</v>
      </c>
      <c r="E4">
        <v>84</v>
      </c>
      <c r="F4">
        <v>51</v>
      </c>
      <c r="G4">
        <v>49</v>
      </c>
      <c r="H4">
        <v>10</v>
      </c>
      <c r="I4">
        <v>29</v>
      </c>
      <c r="J4">
        <v>15</v>
      </c>
      <c r="K4">
        <v>118</v>
      </c>
      <c r="L4">
        <v>190</v>
      </c>
      <c r="M4">
        <v>158</v>
      </c>
      <c r="N4">
        <v>31</v>
      </c>
      <c r="O4">
        <v>67</v>
      </c>
      <c r="P4">
        <v>2</v>
      </c>
      <c r="Q4">
        <v>148</v>
      </c>
      <c r="R4">
        <v>145</v>
      </c>
      <c r="T4">
        <v>172</v>
      </c>
      <c r="U4" t="s">
        <v>121</v>
      </c>
      <c r="V4" t="s">
        <v>201</v>
      </c>
      <c r="W4" t="s">
        <v>131</v>
      </c>
    </row>
    <row r="5" spans="1:23" ht="15" customHeight="1" x14ac:dyDescent="0.25">
      <c r="A5" t="s">
        <v>132</v>
      </c>
      <c r="B5" t="s">
        <v>13</v>
      </c>
      <c r="C5">
        <v>87.8</v>
      </c>
      <c r="D5">
        <v>80.900000000000006</v>
      </c>
      <c r="E5">
        <v>82.8</v>
      </c>
      <c r="F5">
        <v>82.3</v>
      </c>
      <c r="G5">
        <v>81</v>
      </c>
      <c r="H5">
        <v>87.8</v>
      </c>
      <c r="I5">
        <v>90.3</v>
      </c>
      <c r="J5">
        <v>81.8</v>
      </c>
      <c r="K5">
        <v>77.7</v>
      </c>
      <c r="L5">
        <v>85.4</v>
      </c>
      <c r="M5">
        <v>75.5</v>
      </c>
      <c r="N5">
        <v>85.3</v>
      </c>
      <c r="O5">
        <v>86.4</v>
      </c>
      <c r="P5">
        <v>88.1</v>
      </c>
      <c r="Q5">
        <v>84.4</v>
      </c>
      <c r="R5">
        <v>84</v>
      </c>
      <c r="S5">
        <v>66.599999999999994</v>
      </c>
      <c r="T5">
        <v>82.7</v>
      </c>
      <c r="U5" t="s">
        <v>121</v>
      </c>
      <c r="V5" t="s">
        <v>201</v>
      </c>
      <c r="W5" t="s">
        <v>132</v>
      </c>
    </row>
    <row r="6" spans="1:23" ht="15" customHeight="1" x14ac:dyDescent="0.25">
      <c r="A6" t="s">
        <v>437</v>
      </c>
      <c r="B6" t="s">
        <v>13</v>
      </c>
      <c r="C6">
        <v>1.9</v>
      </c>
      <c r="D6">
        <v>1.7</v>
      </c>
      <c r="E6">
        <v>1.8</v>
      </c>
      <c r="F6">
        <v>3.5</v>
      </c>
      <c r="G6">
        <v>1.3</v>
      </c>
      <c r="H6">
        <v>1.9</v>
      </c>
      <c r="I6">
        <v>2.2999999999999998</v>
      </c>
      <c r="J6">
        <v>1.4</v>
      </c>
      <c r="K6">
        <v>2.4</v>
      </c>
      <c r="L6">
        <v>0.9</v>
      </c>
      <c r="M6">
        <v>1.3</v>
      </c>
      <c r="N6">
        <v>1.8</v>
      </c>
      <c r="O6">
        <v>1.1000000000000001</v>
      </c>
      <c r="P6">
        <v>2.7</v>
      </c>
      <c r="Q6">
        <v>1.3</v>
      </c>
      <c r="R6">
        <v>1.3</v>
      </c>
      <c r="S6">
        <v>1.6</v>
      </c>
      <c r="T6">
        <v>1.1000000000000001</v>
      </c>
      <c r="U6" t="s">
        <v>121</v>
      </c>
      <c r="V6" t="s">
        <v>201</v>
      </c>
      <c r="W6" t="s">
        <v>135</v>
      </c>
    </row>
    <row r="7" spans="1:23" ht="15" customHeight="1" x14ac:dyDescent="0.25">
      <c r="A7" t="s">
        <v>438</v>
      </c>
      <c r="B7" t="s">
        <v>13</v>
      </c>
      <c r="C7">
        <v>0.6</v>
      </c>
      <c r="D7">
        <v>1.6</v>
      </c>
      <c r="E7">
        <v>1.9</v>
      </c>
      <c r="F7">
        <v>2.2999999999999998</v>
      </c>
      <c r="G7">
        <v>1.1000000000000001</v>
      </c>
      <c r="H7">
        <v>0.6</v>
      </c>
      <c r="I7">
        <v>2.2000000000000002</v>
      </c>
      <c r="J7">
        <v>1.3</v>
      </c>
      <c r="K7">
        <v>2.6</v>
      </c>
      <c r="L7">
        <v>1.8</v>
      </c>
      <c r="M7">
        <v>3.2</v>
      </c>
      <c r="N7">
        <v>1.3</v>
      </c>
      <c r="O7">
        <v>2.8</v>
      </c>
      <c r="P7">
        <v>0.9</v>
      </c>
      <c r="Q7">
        <v>1.8</v>
      </c>
      <c r="R7">
        <v>2</v>
      </c>
      <c r="S7">
        <v>0.7</v>
      </c>
      <c r="T7">
        <v>1.9</v>
      </c>
      <c r="U7" t="s">
        <v>121</v>
      </c>
      <c r="V7" t="s">
        <v>201</v>
      </c>
      <c r="W7" t="s">
        <v>136</v>
      </c>
    </row>
    <row r="8" spans="1:23" ht="15" customHeight="1" x14ac:dyDescent="0.25">
      <c r="A8" t="s">
        <v>481</v>
      </c>
      <c r="B8" t="s">
        <v>143</v>
      </c>
      <c r="C8">
        <v>150</v>
      </c>
      <c r="D8">
        <v>150</v>
      </c>
      <c r="E8">
        <v>150</v>
      </c>
      <c r="F8">
        <v>150</v>
      </c>
      <c r="G8">
        <v>150</v>
      </c>
      <c r="H8">
        <v>150</v>
      </c>
      <c r="I8">
        <v>150</v>
      </c>
      <c r="J8">
        <v>150</v>
      </c>
      <c r="K8">
        <v>150</v>
      </c>
      <c r="L8">
        <v>150</v>
      </c>
      <c r="M8">
        <v>150</v>
      </c>
      <c r="N8">
        <v>150</v>
      </c>
      <c r="O8">
        <v>150</v>
      </c>
      <c r="P8">
        <v>150</v>
      </c>
      <c r="Q8">
        <v>150</v>
      </c>
      <c r="R8">
        <v>150</v>
      </c>
      <c r="S8">
        <v>150</v>
      </c>
      <c r="T8">
        <v>150</v>
      </c>
      <c r="W8" t="s">
        <v>47</v>
      </c>
    </row>
    <row r="9" spans="1:23" ht="15" customHeight="1" x14ac:dyDescent="0.25">
      <c r="A9" t="s">
        <v>147</v>
      </c>
      <c r="B9" t="s">
        <v>122</v>
      </c>
      <c r="C9">
        <v>7</v>
      </c>
      <c r="D9">
        <v>11</v>
      </c>
      <c r="E9">
        <v>11</v>
      </c>
      <c r="F9">
        <v>6</v>
      </c>
      <c r="G9">
        <v>9</v>
      </c>
      <c r="H9">
        <v>7</v>
      </c>
      <c r="I9">
        <v>2</v>
      </c>
      <c r="J9">
        <v>2</v>
      </c>
      <c r="K9">
        <v>6</v>
      </c>
      <c r="L9">
        <v>28</v>
      </c>
      <c r="M9">
        <v>16</v>
      </c>
      <c r="N9">
        <v>2</v>
      </c>
      <c r="O9">
        <v>13</v>
      </c>
      <c r="Q9">
        <v>29</v>
      </c>
      <c r="R9">
        <v>32</v>
      </c>
      <c r="S9">
        <v>6</v>
      </c>
      <c r="T9">
        <v>40</v>
      </c>
      <c r="U9" t="s">
        <v>121</v>
      </c>
      <c r="V9" t="s">
        <v>201</v>
      </c>
      <c r="W9" t="s">
        <v>147</v>
      </c>
    </row>
    <row r="10" spans="1:23" ht="15" customHeight="1" x14ac:dyDescent="0.25">
      <c r="A10" t="s">
        <v>443</v>
      </c>
      <c r="B10" t="s">
        <v>143</v>
      </c>
      <c r="C10">
        <v>772</v>
      </c>
      <c r="D10">
        <v>765</v>
      </c>
      <c r="E10">
        <v>849</v>
      </c>
      <c r="F10">
        <v>737</v>
      </c>
      <c r="G10">
        <v>787</v>
      </c>
      <c r="H10">
        <v>772</v>
      </c>
      <c r="I10">
        <v>927</v>
      </c>
      <c r="J10">
        <v>1018</v>
      </c>
      <c r="K10">
        <v>795</v>
      </c>
      <c r="L10">
        <v>835</v>
      </c>
      <c r="M10">
        <v>770</v>
      </c>
      <c r="N10">
        <v>702</v>
      </c>
      <c r="O10">
        <v>844</v>
      </c>
      <c r="P10">
        <v>697</v>
      </c>
      <c r="Q10">
        <v>750</v>
      </c>
      <c r="R10">
        <v>721</v>
      </c>
      <c r="S10">
        <v>635</v>
      </c>
      <c r="T10">
        <v>776</v>
      </c>
      <c r="U10" t="s">
        <v>121</v>
      </c>
      <c r="V10" t="s">
        <v>201</v>
      </c>
      <c r="W10" t="s">
        <v>147</v>
      </c>
    </row>
    <row r="11" spans="1:23" ht="15" customHeight="1" x14ac:dyDescent="0.25">
      <c r="A11" t="s">
        <v>148</v>
      </c>
      <c r="B11" t="s">
        <v>122</v>
      </c>
      <c r="C11">
        <v>1</v>
      </c>
      <c r="D11">
        <v>5</v>
      </c>
      <c r="E11">
        <v>4</v>
      </c>
      <c r="F11">
        <v>7</v>
      </c>
      <c r="G11">
        <v>5</v>
      </c>
      <c r="H11">
        <v>1</v>
      </c>
      <c r="I11">
        <v>2</v>
      </c>
      <c r="K11">
        <v>4</v>
      </c>
      <c r="L11">
        <v>5</v>
      </c>
      <c r="M11">
        <v>8</v>
      </c>
      <c r="N11">
        <v>2</v>
      </c>
      <c r="O11">
        <v>10</v>
      </c>
      <c r="Q11">
        <v>12</v>
      </c>
      <c r="R11">
        <v>12</v>
      </c>
      <c r="T11">
        <v>22</v>
      </c>
      <c r="U11" t="s">
        <v>121</v>
      </c>
      <c r="V11" t="s">
        <v>201</v>
      </c>
      <c r="W11" t="s">
        <v>148</v>
      </c>
    </row>
    <row r="12" spans="1:23" ht="15" customHeight="1" x14ac:dyDescent="0.25">
      <c r="A12" t="s">
        <v>442</v>
      </c>
      <c r="B12" t="s">
        <v>143</v>
      </c>
      <c r="C12">
        <v>464</v>
      </c>
      <c r="D12">
        <v>639</v>
      </c>
      <c r="E12">
        <v>728</v>
      </c>
      <c r="F12">
        <v>624</v>
      </c>
      <c r="G12">
        <v>709</v>
      </c>
      <c r="H12">
        <v>464</v>
      </c>
      <c r="I12">
        <v>806</v>
      </c>
      <c r="J12">
        <v>787</v>
      </c>
      <c r="K12">
        <v>606</v>
      </c>
      <c r="L12">
        <v>633</v>
      </c>
      <c r="M12">
        <v>613</v>
      </c>
      <c r="N12">
        <v>647</v>
      </c>
      <c r="O12">
        <v>627</v>
      </c>
      <c r="P12">
        <v>720</v>
      </c>
      <c r="Q12">
        <v>589</v>
      </c>
      <c r="R12">
        <v>598</v>
      </c>
      <c r="S12">
        <v>636</v>
      </c>
      <c r="T12">
        <v>652</v>
      </c>
      <c r="U12" t="s">
        <v>121</v>
      </c>
      <c r="V12" t="s">
        <v>201</v>
      </c>
      <c r="W12" t="s">
        <v>148</v>
      </c>
    </row>
    <row r="13" spans="1:23" ht="15" customHeight="1" x14ac:dyDescent="0.25">
      <c r="A13" t="s">
        <v>149</v>
      </c>
      <c r="B13" t="s">
        <v>122</v>
      </c>
      <c r="C13">
        <v>5</v>
      </c>
      <c r="D13">
        <v>5</v>
      </c>
      <c r="E13">
        <v>3</v>
      </c>
      <c r="F13">
        <v>13</v>
      </c>
      <c r="G13">
        <v>14</v>
      </c>
      <c r="H13">
        <v>5</v>
      </c>
      <c r="I13">
        <v>2</v>
      </c>
      <c r="K13">
        <v>3</v>
      </c>
      <c r="L13">
        <v>2</v>
      </c>
      <c r="M13">
        <v>2</v>
      </c>
      <c r="N13">
        <v>2</v>
      </c>
      <c r="O13">
        <v>2</v>
      </c>
      <c r="Q13">
        <v>7</v>
      </c>
      <c r="R13">
        <v>5</v>
      </c>
      <c r="S13">
        <v>40</v>
      </c>
      <c r="T13">
        <v>5</v>
      </c>
      <c r="U13" t="s">
        <v>121</v>
      </c>
      <c r="V13" t="s">
        <v>201</v>
      </c>
      <c r="W13" t="s">
        <v>149</v>
      </c>
    </row>
    <row r="14" spans="1:23" ht="15" customHeight="1" x14ac:dyDescent="0.25">
      <c r="A14" t="s">
        <v>441</v>
      </c>
      <c r="B14" t="s">
        <v>143</v>
      </c>
      <c r="C14">
        <v>585</v>
      </c>
      <c r="D14">
        <v>540</v>
      </c>
      <c r="E14">
        <v>748</v>
      </c>
      <c r="F14">
        <v>652</v>
      </c>
      <c r="G14">
        <v>541</v>
      </c>
      <c r="H14">
        <v>585</v>
      </c>
      <c r="I14">
        <v>670</v>
      </c>
      <c r="J14">
        <v>652</v>
      </c>
      <c r="K14">
        <v>478</v>
      </c>
      <c r="L14">
        <v>968</v>
      </c>
      <c r="M14">
        <v>687</v>
      </c>
      <c r="N14">
        <v>620</v>
      </c>
      <c r="O14">
        <v>922</v>
      </c>
      <c r="P14">
        <v>652</v>
      </c>
      <c r="Q14">
        <v>916</v>
      </c>
      <c r="R14">
        <v>916</v>
      </c>
      <c r="S14">
        <v>454</v>
      </c>
      <c r="T14">
        <v>591</v>
      </c>
      <c r="U14" t="s">
        <v>121</v>
      </c>
      <c r="V14" t="s">
        <v>201</v>
      </c>
      <c r="W14" t="s">
        <v>149</v>
      </c>
    </row>
    <row r="15" spans="1:23" ht="15" customHeight="1" x14ac:dyDescent="0.25">
      <c r="A15" t="s">
        <v>439</v>
      </c>
      <c r="B15" t="s">
        <v>122</v>
      </c>
      <c r="C15">
        <v>9</v>
      </c>
      <c r="D15">
        <v>15</v>
      </c>
      <c r="E15">
        <v>17</v>
      </c>
      <c r="F15">
        <v>7</v>
      </c>
      <c r="G15">
        <v>11</v>
      </c>
      <c r="H15">
        <v>9</v>
      </c>
      <c r="I15">
        <v>6</v>
      </c>
      <c r="J15">
        <v>5</v>
      </c>
      <c r="K15">
        <v>19</v>
      </c>
      <c r="L15">
        <v>29</v>
      </c>
      <c r="M15">
        <v>78</v>
      </c>
      <c r="N15">
        <v>4</v>
      </c>
      <c r="O15">
        <v>17</v>
      </c>
      <c r="P15">
        <v>2</v>
      </c>
      <c r="Q15">
        <v>4</v>
      </c>
      <c r="R15">
        <v>8</v>
      </c>
      <c r="T15">
        <v>17</v>
      </c>
      <c r="U15" t="s">
        <v>121</v>
      </c>
      <c r="V15" t="s">
        <v>201</v>
      </c>
      <c r="W15" t="s">
        <v>150</v>
      </c>
    </row>
    <row r="16" spans="1:23" ht="15" customHeight="1" x14ac:dyDescent="0.25">
      <c r="A16" t="s">
        <v>440</v>
      </c>
      <c r="B16" t="s">
        <v>143</v>
      </c>
      <c r="C16">
        <v>851</v>
      </c>
      <c r="D16">
        <v>1091</v>
      </c>
      <c r="E16">
        <v>1214</v>
      </c>
      <c r="F16">
        <v>1193</v>
      </c>
      <c r="G16">
        <v>1046</v>
      </c>
      <c r="H16">
        <v>851</v>
      </c>
      <c r="I16">
        <v>1169</v>
      </c>
      <c r="J16">
        <v>1442</v>
      </c>
      <c r="K16">
        <v>989</v>
      </c>
      <c r="L16">
        <v>1126</v>
      </c>
      <c r="M16">
        <v>1224</v>
      </c>
      <c r="N16">
        <v>1269</v>
      </c>
      <c r="O16">
        <v>1202</v>
      </c>
      <c r="P16">
        <v>1003</v>
      </c>
      <c r="Q16">
        <v>1340</v>
      </c>
      <c r="R16">
        <v>1334</v>
      </c>
      <c r="S16">
        <v>1229</v>
      </c>
      <c r="T16">
        <v>1217</v>
      </c>
      <c r="U16" t="s">
        <v>121</v>
      </c>
      <c r="V16" t="s">
        <v>201</v>
      </c>
      <c r="W16" t="s">
        <v>150</v>
      </c>
    </row>
    <row r="17" spans="1:23" ht="15" customHeight="1" x14ac:dyDescent="0.25">
      <c r="A17" t="s">
        <v>444</v>
      </c>
      <c r="B17" t="s">
        <v>122</v>
      </c>
      <c r="C17">
        <v>12</v>
      </c>
      <c r="D17">
        <v>7</v>
      </c>
      <c r="E17">
        <v>15</v>
      </c>
      <c r="F17">
        <v>8</v>
      </c>
      <c r="G17">
        <v>6</v>
      </c>
      <c r="H17">
        <v>12</v>
      </c>
      <c r="I17">
        <v>2</v>
      </c>
      <c r="K17">
        <v>19</v>
      </c>
      <c r="L17">
        <v>16</v>
      </c>
      <c r="M17">
        <v>28</v>
      </c>
      <c r="N17">
        <v>2</v>
      </c>
      <c r="O17">
        <v>11</v>
      </c>
      <c r="P17">
        <v>3</v>
      </c>
      <c r="Q17">
        <v>7</v>
      </c>
      <c r="R17">
        <v>9</v>
      </c>
      <c r="T17">
        <v>16</v>
      </c>
      <c r="U17" t="s">
        <v>121</v>
      </c>
      <c r="V17" t="s">
        <v>201</v>
      </c>
      <c r="W17" t="s">
        <v>151</v>
      </c>
    </row>
    <row r="18" spans="1:23" ht="15" customHeight="1" x14ac:dyDescent="0.25">
      <c r="A18" t="s">
        <v>445</v>
      </c>
      <c r="B18" t="s">
        <v>143</v>
      </c>
      <c r="C18">
        <v>997</v>
      </c>
      <c r="D18">
        <v>940</v>
      </c>
      <c r="E18">
        <v>1043</v>
      </c>
      <c r="F18">
        <v>1134</v>
      </c>
      <c r="G18">
        <v>969</v>
      </c>
      <c r="H18">
        <v>997</v>
      </c>
      <c r="I18">
        <v>780</v>
      </c>
      <c r="J18">
        <v>822</v>
      </c>
      <c r="K18">
        <v>796</v>
      </c>
      <c r="L18">
        <v>888</v>
      </c>
      <c r="M18">
        <v>1019</v>
      </c>
      <c r="N18">
        <v>1232</v>
      </c>
      <c r="O18">
        <v>1060</v>
      </c>
      <c r="P18">
        <v>981</v>
      </c>
      <c r="Q18">
        <v>1181</v>
      </c>
      <c r="R18">
        <v>1062</v>
      </c>
      <c r="S18">
        <v>459</v>
      </c>
      <c r="T18">
        <v>996</v>
      </c>
      <c r="U18" t="s">
        <v>121</v>
      </c>
      <c r="V18" t="s">
        <v>201</v>
      </c>
      <c r="W18" t="s">
        <v>151</v>
      </c>
    </row>
    <row r="19" spans="1:23" ht="15" customHeight="1" x14ac:dyDescent="0.25">
      <c r="A19" t="s">
        <v>446</v>
      </c>
      <c r="B19" t="s">
        <v>122</v>
      </c>
      <c r="C19">
        <v>48</v>
      </c>
      <c r="D19">
        <v>13</v>
      </c>
      <c r="E19">
        <v>39</v>
      </c>
      <c r="F19">
        <v>22</v>
      </c>
      <c r="G19">
        <v>23</v>
      </c>
      <c r="H19">
        <v>48</v>
      </c>
      <c r="I19">
        <v>12</v>
      </c>
      <c r="J19">
        <v>1</v>
      </c>
      <c r="K19">
        <v>12</v>
      </c>
      <c r="L19">
        <v>7</v>
      </c>
      <c r="M19">
        <v>5</v>
      </c>
      <c r="N19">
        <v>7</v>
      </c>
      <c r="P19">
        <v>6</v>
      </c>
      <c r="Q19">
        <v>4</v>
      </c>
      <c r="R19">
        <v>3</v>
      </c>
      <c r="S19">
        <v>21</v>
      </c>
      <c r="T19">
        <v>7</v>
      </c>
      <c r="U19" t="s">
        <v>121</v>
      </c>
      <c r="V19" t="s">
        <v>201</v>
      </c>
      <c r="W19" t="s">
        <v>152</v>
      </c>
    </row>
    <row r="20" spans="1:23" ht="15" customHeight="1" x14ac:dyDescent="0.25">
      <c r="A20" t="s">
        <v>447</v>
      </c>
      <c r="B20" t="s">
        <v>143</v>
      </c>
      <c r="C20">
        <v>1171</v>
      </c>
      <c r="D20">
        <v>1114</v>
      </c>
      <c r="E20">
        <v>1132</v>
      </c>
      <c r="F20">
        <v>1324</v>
      </c>
      <c r="G20">
        <v>1022</v>
      </c>
      <c r="H20">
        <v>1171</v>
      </c>
      <c r="I20">
        <v>1213</v>
      </c>
      <c r="J20">
        <v>1108</v>
      </c>
      <c r="K20">
        <v>1086</v>
      </c>
      <c r="L20">
        <v>1148</v>
      </c>
      <c r="M20">
        <v>1166</v>
      </c>
      <c r="N20">
        <v>1184</v>
      </c>
      <c r="O20">
        <v>1080</v>
      </c>
      <c r="P20">
        <v>996</v>
      </c>
      <c r="Q20">
        <v>1283</v>
      </c>
      <c r="R20">
        <v>1291</v>
      </c>
      <c r="S20">
        <v>833</v>
      </c>
      <c r="T20">
        <v>924</v>
      </c>
      <c r="U20" t="s">
        <v>121</v>
      </c>
      <c r="V20" t="s">
        <v>201</v>
      </c>
      <c r="W20" t="s">
        <v>152</v>
      </c>
    </row>
    <row r="21" spans="1:23" ht="15" customHeight="1" x14ac:dyDescent="0.25">
      <c r="A21" t="s">
        <v>448</v>
      </c>
      <c r="B21" t="s">
        <v>122</v>
      </c>
      <c r="C21">
        <v>1</v>
      </c>
      <c r="D21">
        <v>2</v>
      </c>
      <c r="E21">
        <v>1</v>
      </c>
      <c r="F21">
        <v>1</v>
      </c>
      <c r="G21">
        <v>1</v>
      </c>
      <c r="H21">
        <v>1</v>
      </c>
      <c r="I21">
        <v>2</v>
      </c>
      <c r="J21">
        <v>2</v>
      </c>
      <c r="M21">
        <v>3</v>
      </c>
      <c r="N21">
        <v>2</v>
      </c>
      <c r="O21">
        <v>2</v>
      </c>
      <c r="P21">
        <v>9</v>
      </c>
      <c r="Q21">
        <v>10</v>
      </c>
      <c r="R21">
        <v>10</v>
      </c>
      <c r="S21">
        <v>8</v>
      </c>
      <c r="T21">
        <v>12</v>
      </c>
      <c r="U21" t="s">
        <v>121</v>
      </c>
      <c r="V21" t="s">
        <v>201</v>
      </c>
      <c r="W21" t="s">
        <v>153</v>
      </c>
    </row>
    <row r="22" spans="1:23" ht="15" customHeight="1" x14ac:dyDescent="0.25">
      <c r="A22" t="s">
        <v>449</v>
      </c>
      <c r="B22" t="s">
        <v>143</v>
      </c>
      <c r="C22">
        <v>1098</v>
      </c>
      <c r="D22">
        <v>1318</v>
      </c>
      <c r="E22">
        <v>1321</v>
      </c>
      <c r="F22">
        <v>1197</v>
      </c>
      <c r="G22">
        <v>1201</v>
      </c>
      <c r="H22">
        <v>1098</v>
      </c>
      <c r="I22">
        <v>1570</v>
      </c>
      <c r="J22">
        <v>1410</v>
      </c>
      <c r="K22">
        <v>1193</v>
      </c>
      <c r="L22">
        <v>1069</v>
      </c>
      <c r="M22">
        <v>1373</v>
      </c>
      <c r="N22">
        <v>1379</v>
      </c>
      <c r="O22">
        <v>1250</v>
      </c>
      <c r="P22">
        <v>1405</v>
      </c>
      <c r="Q22">
        <v>1601</v>
      </c>
      <c r="R22">
        <v>1500</v>
      </c>
      <c r="S22">
        <v>1394</v>
      </c>
      <c r="T22">
        <v>1756</v>
      </c>
      <c r="U22" t="s">
        <v>121</v>
      </c>
      <c r="V22" t="s">
        <v>201</v>
      </c>
      <c r="W22" t="s">
        <v>153</v>
      </c>
    </row>
    <row r="23" spans="1:23" ht="15" customHeight="1" x14ac:dyDescent="0.25">
      <c r="A23" t="s">
        <v>450</v>
      </c>
      <c r="B23" t="s">
        <v>122</v>
      </c>
      <c r="C23">
        <v>7</v>
      </c>
      <c r="D23">
        <v>14</v>
      </c>
      <c r="E23">
        <v>2</v>
      </c>
      <c r="F23">
        <v>4</v>
      </c>
      <c r="G23">
        <v>16</v>
      </c>
      <c r="H23">
        <v>7</v>
      </c>
      <c r="I23">
        <v>13</v>
      </c>
      <c r="J23">
        <v>5</v>
      </c>
      <c r="K23">
        <v>12</v>
      </c>
      <c r="L23">
        <v>3</v>
      </c>
      <c r="M23">
        <v>6</v>
      </c>
      <c r="N23">
        <v>10</v>
      </c>
      <c r="O23">
        <v>6</v>
      </c>
      <c r="P23">
        <v>4</v>
      </c>
      <c r="Q23">
        <v>6</v>
      </c>
      <c r="R23">
        <v>6</v>
      </c>
      <c r="S23">
        <v>3</v>
      </c>
      <c r="T23">
        <v>9</v>
      </c>
      <c r="U23" t="s">
        <v>121</v>
      </c>
      <c r="V23" t="s">
        <v>201</v>
      </c>
      <c r="W23" t="s">
        <v>154</v>
      </c>
    </row>
    <row r="24" spans="1:23" ht="15" customHeight="1" x14ac:dyDescent="0.25">
      <c r="A24" t="s">
        <v>451</v>
      </c>
      <c r="B24" t="s">
        <v>143</v>
      </c>
      <c r="C24">
        <v>1090</v>
      </c>
      <c r="D24">
        <v>1218</v>
      </c>
      <c r="E24">
        <v>1066</v>
      </c>
      <c r="F24">
        <v>1067</v>
      </c>
      <c r="G24">
        <v>1221</v>
      </c>
      <c r="H24">
        <v>1090</v>
      </c>
      <c r="I24">
        <v>1255</v>
      </c>
      <c r="J24">
        <v>1297</v>
      </c>
      <c r="K24">
        <v>1189</v>
      </c>
      <c r="L24">
        <v>1386</v>
      </c>
      <c r="M24">
        <v>1196</v>
      </c>
      <c r="N24">
        <v>998</v>
      </c>
      <c r="O24">
        <v>1173</v>
      </c>
      <c r="P24">
        <v>1258</v>
      </c>
      <c r="Q24">
        <v>1398</v>
      </c>
      <c r="R24">
        <v>1328</v>
      </c>
      <c r="S24">
        <v>1330</v>
      </c>
      <c r="T24">
        <v>1514</v>
      </c>
      <c r="U24" t="s">
        <v>121</v>
      </c>
      <c r="V24" t="s">
        <v>201</v>
      </c>
      <c r="W24" t="s">
        <v>154</v>
      </c>
    </row>
    <row r="25" spans="1:23" ht="15" customHeight="1" x14ac:dyDescent="0.25">
      <c r="A25" t="s">
        <v>452</v>
      </c>
      <c r="B25" t="s">
        <v>122</v>
      </c>
      <c r="C25">
        <v>21</v>
      </c>
      <c r="D25">
        <v>15</v>
      </c>
      <c r="E25">
        <v>13</v>
      </c>
      <c r="F25">
        <v>10</v>
      </c>
      <c r="G25">
        <v>15</v>
      </c>
      <c r="H25">
        <v>21</v>
      </c>
      <c r="I25">
        <v>21</v>
      </c>
      <c r="J25">
        <v>8</v>
      </c>
      <c r="K25">
        <v>19</v>
      </c>
      <c r="L25">
        <v>27</v>
      </c>
      <c r="M25">
        <v>12</v>
      </c>
      <c r="N25">
        <v>18</v>
      </c>
      <c r="O25">
        <v>7</v>
      </c>
      <c r="P25">
        <v>3</v>
      </c>
      <c r="Q25">
        <v>15</v>
      </c>
      <c r="R25">
        <v>14</v>
      </c>
      <c r="S25">
        <v>4</v>
      </c>
      <c r="T25">
        <v>16</v>
      </c>
      <c r="U25" t="s">
        <v>121</v>
      </c>
      <c r="V25" t="s">
        <v>201</v>
      </c>
      <c r="W25" t="s">
        <v>155</v>
      </c>
    </row>
    <row r="26" spans="1:23" ht="15" customHeight="1" x14ac:dyDescent="0.25">
      <c r="A26" t="s">
        <v>453</v>
      </c>
      <c r="B26" t="s">
        <v>143</v>
      </c>
      <c r="C26">
        <v>1297</v>
      </c>
      <c r="D26">
        <v>1374</v>
      </c>
      <c r="E26">
        <v>1199</v>
      </c>
      <c r="F26">
        <v>1223</v>
      </c>
      <c r="G26">
        <v>1394</v>
      </c>
      <c r="H26">
        <v>1297</v>
      </c>
      <c r="I26">
        <v>1521</v>
      </c>
      <c r="J26">
        <v>1482</v>
      </c>
      <c r="K26">
        <v>1281</v>
      </c>
      <c r="L26">
        <v>1320</v>
      </c>
      <c r="M26">
        <v>1342</v>
      </c>
      <c r="N26">
        <v>1456</v>
      </c>
      <c r="O26">
        <v>1360</v>
      </c>
      <c r="P26">
        <v>1477</v>
      </c>
      <c r="Q26">
        <v>1505</v>
      </c>
      <c r="R26">
        <v>1458</v>
      </c>
      <c r="S26">
        <v>1427</v>
      </c>
      <c r="T26">
        <v>1375</v>
      </c>
      <c r="U26" t="s">
        <v>121</v>
      </c>
      <c r="V26" t="s">
        <v>201</v>
      </c>
      <c r="W26" t="s">
        <v>155</v>
      </c>
    </row>
    <row r="27" spans="1:23" ht="15" customHeight="1" x14ac:dyDescent="0.25">
      <c r="A27" t="s">
        <v>454</v>
      </c>
      <c r="B27" t="s">
        <v>122</v>
      </c>
      <c r="C27">
        <v>180</v>
      </c>
      <c r="D27">
        <v>25</v>
      </c>
      <c r="E27">
        <v>11</v>
      </c>
      <c r="F27">
        <v>47</v>
      </c>
      <c r="G27">
        <v>26</v>
      </c>
      <c r="H27">
        <v>180</v>
      </c>
      <c r="I27">
        <v>7</v>
      </c>
      <c r="J27">
        <v>46</v>
      </c>
      <c r="K27">
        <v>43</v>
      </c>
      <c r="L27">
        <v>16</v>
      </c>
      <c r="M27">
        <v>21</v>
      </c>
      <c r="N27">
        <v>47</v>
      </c>
      <c r="O27">
        <v>4</v>
      </c>
      <c r="P27">
        <v>3</v>
      </c>
      <c r="Q27">
        <v>26</v>
      </c>
      <c r="R27">
        <v>20</v>
      </c>
      <c r="S27">
        <v>15</v>
      </c>
      <c r="T27">
        <v>19</v>
      </c>
      <c r="U27" t="s">
        <v>121</v>
      </c>
      <c r="V27" t="s">
        <v>201</v>
      </c>
      <c r="W27" t="s">
        <v>156</v>
      </c>
    </row>
    <row r="28" spans="1:23" ht="15" customHeight="1" x14ac:dyDescent="0.25">
      <c r="A28" t="s">
        <v>455</v>
      </c>
      <c r="B28" t="s">
        <v>143</v>
      </c>
      <c r="C28">
        <v>1710</v>
      </c>
      <c r="D28">
        <v>1681</v>
      </c>
      <c r="E28">
        <v>1710</v>
      </c>
      <c r="F28">
        <v>1753</v>
      </c>
      <c r="G28">
        <v>1684</v>
      </c>
      <c r="H28">
        <v>1710</v>
      </c>
      <c r="I28">
        <v>1942</v>
      </c>
      <c r="J28">
        <v>1907</v>
      </c>
      <c r="K28">
        <v>1514</v>
      </c>
      <c r="L28">
        <v>1640</v>
      </c>
      <c r="M28">
        <v>1923</v>
      </c>
      <c r="N28">
        <v>1706</v>
      </c>
      <c r="O28">
        <v>1611</v>
      </c>
      <c r="P28">
        <v>1503</v>
      </c>
      <c r="Q28">
        <v>1763</v>
      </c>
      <c r="R28">
        <v>1748</v>
      </c>
      <c r="S28">
        <v>1607</v>
      </c>
      <c r="T28">
        <v>1942</v>
      </c>
      <c r="U28" t="s">
        <v>121</v>
      </c>
      <c r="V28" t="s">
        <v>201</v>
      </c>
      <c r="W28" t="s">
        <v>156</v>
      </c>
    </row>
    <row r="29" spans="1:23" ht="15" customHeight="1" x14ac:dyDescent="0.25">
      <c r="A29" t="s">
        <v>157</v>
      </c>
      <c r="B29" t="s">
        <v>122</v>
      </c>
      <c r="C29">
        <v>5</v>
      </c>
      <c r="D29">
        <v>11</v>
      </c>
      <c r="E29">
        <v>12</v>
      </c>
      <c r="F29">
        <v>8</v>
      </c>
      <c r="G29">
        <v>8</v>
      </c>
      <c r="H29">
        <v>5</v>
      </c>
      <c r="I29">
        <v>4</v>
      </c>
      <c r="J29">
        <v>3</v>
      </c>
      <c r="K29">
        <v>24</v>
      </c>
      <c r="L29">
        <v>35</v>
      </c>
      <c r="M29">
        <v>37</v>
      </c>
      <c r="N29">
        <v>7</v>
      </c>
      <c r="O29">
        <v>8</v>
      </c>
      <c r="P29">
        <v>1</v>
      </c>
      <c r="Q29">
        <v>16</v>
      </c>
      <c r="R29">
        <v>18</v>
      </c>
      <c r="S29">
        <v>2</v>
      </c>
      <c r="T29">
        <v>22</v>
      </c>
      <c r="U29" t="s">
        <v>121</v>
      </c>
      <c r="V29" t="s">
        <v>201</v>
      </c>
      <c r="W29" t="s">
        <v>157</v>
      </c>
    </row>
    <row r="30" spans="1:23" ht="15" customHeight="1" x14ac:dyDescent="0.25">
      <c r="A30" t="s">
        <v>456</v>
      </c>
      <c r="B30" t="s">
        <v>143</v>
      </c>
      <c r="C30">
        <v>794</v>
      </c>
      <c r="D30">
        <v>964</v>
      </c>
      <c r="E30">
        <v>1073</v>
      </c>
      <c r="F30">
        <v>1054</v>
      </c>
      <c r="G30">
        <v>836</v>
      </c>
      <c r="H30">
        <v>794</v>
      </c>
      <c r="I30">
        <v>1167</v>
      </c>
      <c r="J30">
        <v>970</v>
      </c>
      <c r="K30">
        <v>974</v>
      </c>
      <c r="L30">
        <v>1030</v>
      </c>
      <c r="M30">
        <v>1039</v>
      </c>
      <c r="N30">
        <v>1000</v>
      </c>
      <c r="O30">
        <v>1021</v>
      </c>
      <c r="P30">
        <v>1052</v>
      </c>
      <c r="Q30">
        <v>975</v>
      </c>
      <c r="R30">
        <v>993</v>
      </c>
      <c r="S30">
        <v>1690</v>
      </c>
      <c r="T30">
        <v>1023</v>
      </c>
      <c r="U30" t="s">
        <v>121</v>
      </c>
      <c r="V30" t="s">
        <v>201</v>
      </c>
      <c r="W30" t="s">
        <v>157</v>
      </c>
    </row>
    <row r="31" spans="1:23" ht="15" customHeight="1" x14ac:dyDescent="0.25">
      <c r="A31" t="s">
        <v>158</v>
      </c>
      <c r="B31" t="s">
        <v>122</v>
      </c>
      <c r="C31">
        <v>135</v>
      </c>
      <c r="D31">
        <v>105</v>
      </c>
      <c r="E31">
        <v>48</v>
      </c>
      <c r="F31">
        <v>41</v>
      </c>
      <c r="G31">
        <v>132</v>
      </c>
      <c r="H31">
        <v>135</v>
      </c>
      <c r="I31">
        <v>125</v>
      </c>
      <c r="J31">
        <v>84</v>
      </c>
      <c r="K31">
        <v>40</v>
      </c>
      <c r="L31">
        <v>42</v>
      </c>
      <c r="M31">
        <v>17</v>
      </c>
      <c r="N31">
        <v>51</v>
      </c>
      <c r="O31">
        <v>11</v>
      </c>
      <c r="P31">
        <v>8</v>
      </c>
      <c r="Q31">
        <v>11</v>
      </c>
      <c r="R31">
        <v>16</v>
      </c>
      <c r="S31">
        <v>21</v>
      </c>
      <c r="T31">
        <v>11</v>
      </c>
      <c r="U31" t="s">
        <v>121</v>
      </c>
      <c r="V31" t="s">
        <v>201</v>
      </c>
      <c r="W31" t="s">
        <v>158</v>
      </c>
    </row>
    <row r="32" spans="1:23" ht="15" customHeight="1" x14ac:dyDescent="0.25">
      <c r="A32" t="s">
        <v>457</v>
      </c>
      <c r="B32" t="s">
        <v>143</v>
      </c>
      <c r="C32">
        <v>1572</v>
      </c>
      <c r="D32">
        <v>1497</v>
      </c>
      <c r="E32">
        <v>1633</v>
      </c>
      <c r="F32">
        <v>1567</v>
      </c>
      <c r="G32">
        <v>1547</v>
      </c>
      <c r="H32">
        <v>1572</v>
      </c>
      <c r="I32">
        <v>1559</v>
      </c>
      <c r="J32">
        <v>1496</v>
      </c>
      <c r="K32">
        <v>1501</v>
      </c>
      <c r="L32">
        <v>1564</v>
      </c>
      <c r="M32">
        <v>1497</v>
      </c>
      <c r="N32">
        <v>1420</v>
      </c>
      <c r="O32">
        <v>1497</v>
      </c>
      <c r="P32">
        <v>1321</v>
      </c>
      <c r="Q32">
        <v>1587</v>
      </c>
      <c r="R32">
        <v>1342</v>
      </c>
      <c r="S32">
        <v>1444</v>
      </c>
      <c r="T32">
        <v>1585</v>
      </c>
      <c r="U32" t="s">
        <v>121</v>
      </c>
      <c r="V32" t="s">
        <v>201</v>
      </c>
      <c r="W32" t="s">
        <v>158</v>
      </c>
    </row>
    <row r="33" spans="1:23" ht="15" customHeight="1" x14ac:dyDescent="0.25">
      <c r="A33" t="s">
        <v>432</v>
      </c>
    </row>
    <row r="34" spans="1:23" ht="15" customHeight="1" x14ac:dyDescent="0.25">
      <c r="A34" t="s">
        <v>432</v>
      </c>
    </row>
    <row r="35" spans="1:23" ht="15" customHeight="1" x14ac:dyDescent="0.25">
      <c r="A35" t="s">
        <v>432</v>
      </c>
    </row>
    <row r="36" spans="1:23" ht="15" customHeight="1" x14ac:dyDescent="0.25">
      <c r="A36" t="s">
        <v>432</v>
      </c>
    </row>
    <row r="37" spans="1:23" ht="15" customHeight="1" x14ac:dyDescent="0.25">
      <c r="A37" t="s">
        <v>50</v>
      </c>
      <c r="B37" t="s">
        <v>143</v>
      </c>
      <c r="C37">
        <v>1138</v>
      </c>
      <c r="D37">
        <v>1138</v>
      </c>
      <c r="E37">
        <v>1138</v>
      </c>
      <c r="F37">
        <v>1138</v>
      </c>
      <c r="G37">
        <v>1138</v>
      </c>
      <c r="H37">
        <v>1138</v>
      </c>
      <c r="I37">
        <v>1138</v>
      </c>
      <c r="J37">
        <v>1138</v>
      </c>
      <c r="K37">
        <v>1138</v>
      </c>
      <c r="L37">
        <v>1138</v>
      </c>
      <c r="M37">
        <v>1138</v>
      </c>
      <c r="N37">
        <v>1138</v>
      </c>
      <c r="O37">
        <v>1138</v>
      </c>
      <c r="P37">
        <v>1138</v>
      </c>
      <c r="Q37">
        <v>1138</v>
      </c>
      <c r="R37">
        <v>1138</v>
      </c>
      <c r="S37">
        <v>1138</v>
      </c>
      <c r="T37">
        <v>1138</v>
      </c>
      <c r="U37" t="s">
        <v>35</v>
      </c>
      <c r="V37" t="s">
        <v>27</v>
      </c>
      <c r="W37" t="s">
        <v>50</v>
      </c>
    </row>
    <row r="38" spans="1:23" ht="15" customHeight="1" x14ac:dyDescent="0.25">
      <c r="A38" t="s">
        <v>432</v>
      </c>
    </row>
    <row r="39" spans="1:23" ht="15" customHeight="1" x14ac:dyDescent="0.25">
      <c r="A39" t="s">
        <v>160</v>
      </c>
      <c r="B39" t="s">
        <v>159</v>
      </c>
      <c r="C39">
        <v>10.36</v>
      </c>
      <c r="D39">
        <v>9.32</v>
      </c>
      <c r="E39">
        <v>9.7100000000000009</v>
      </c>
      <c r="F39">
        <v>8.2899999999999991</v>
      </c>
      <c r="G39">
        <v>8.82</v>
      </c>
      <c r="H39">
        <v>10.36</v>
      </c>
      <c r="I39">
        <v>7.12</v>
      </c>
      <c r="J39">
        <v>9.76</v>
      </c>
      <c r="K39">
        <v>7.67</v>
      </c>
      <c r="L39">
        <v>11.39</v>
      </c>
      <c r="M39">
        <v>10.67</v>
      </c>
      <c r="N39">
        <v>9.6199999999999992</v>
      </c>
      <c r="O39">
        <v>4.5</v>
      </c>
      <c r="P39">
        <v>3.88</v>
      </c>
      <c r="Q39">
        <v>12.05</v>
      </c>
      <c r="R39">
        <v>10.119999999999999</v>
      </c>
      <c r="S39">
        <v>34.57</v>
      </c>
      <c r="T39">
        <v>12.52</v>
      </c>
      <c r="U39" t="s">
        <v>121</v>
      </c>
      <c r="V39" t="s">
        <v>27</v>
      </c>
      <c r="W39" t="s">
        <v>160</v>
      </c>
    </row>
    <row r="40" spans="1:23" ht="15" customHeight="1" x14ac:dyDescent="0.25">
      <c r="A40" t="s">
        <v>87</v>
      </c>
      <c r="B40" t="s">
        <v>159</v>
      </c>
      <c r="C40">
        <v>4.6399999999999997</v>
      </c>
      <c r="D40">
        <v>4.84</v>
      </c>
      <c r="E40">
        <v>5.52</v>
      </c>
      <c r="F40">
        <v>5.58</v>
      </c>
      <c r="G40">
        <v>2.97</v>
      </c>
      <c r="H40">
        <v>4.6399999999999997</v>
      </c>
      <c r="I40">
        <v>5.04</v>
      </c>
      <c r="J40">
        <v>5.43</v>
      </c>
      <c r="K40">
        <v>5.51</v>
      </c>
      <c r="L40">
        <v>5.18</v>
      </c>
      <c r="M40">
        <v>5.81</v>
      </c>
      <c r="N40">
        <v>6.18</v>
      </c>
      <c r="O40">
        <v>6.82</v>
      </c>
      <c r="P40">
        <v>6.98</v>
      </c>
      <c r="Q40">
        <v>6.13</v>
      </c>
      <c r="R40">
        <v>5.81</v>
      </c>
      <c r="S40">
        <v>4.1399999999999997</v>
      </c>
      <c r="T40">
        <v>6.31</v>
      </c>
      <c r="U40" t="s">
        <v>121</v>
      </c>
      <c r="V40" t="s">
        <v>201</v>
      </c>
      <c r="W40" t="s">
        <v>87</v>
      </c>
    </row>
    <row r="41" spans="1:23" ht="15" customHeight="1" x14ac:dyDescent="0.25">
      <c r="A41" t="s">
        <v>275</v>
      </c>
      <c r="B41" t="s">
        <v>143</v>
      </c>
      <c r="C41">
        <v>125</v>
      </c>
      <c r="D41">
        <v>125</v>
      </c>
      <c r="E41">
        <v>125</v>
      </c>
      <c r="F41">
        <v>125</v>
      </c>
      <c r="G41">
        <v>125</v>
      </c>
      <c r="H41">
        <v>125</v>
      </c>
      <c r="I41">
        <v>125</v>
      </c>
      <c r="J41">
        <v>125</v>
      </c>
      <c r="K41">
        <v>125</v>
      </c>
      <c r="L41">
        <v>125</v>
      </c>
      <c r="M41">
        <v>125</v>
      </c>
      <c r="N41">
        <v>125</v>
      </c>
      <c r="O41">
        <v>125</v>
      </c>
      <c r="P41">
        <v>125</v>
      </c>
      <c r="Q41">
        <v>125</v>
      </c>
      <c r="R41">
        <v>125</v>
      </c>
      <c r="S41">
        <v>125</v>
      </c>
      <c r="T41">
        <v>125</v>
      </c>
      <c r="W41" t="s">
        <v>275</v>
      </c>
    </row>
    <row r="42" spans="1:23" ht="15" customHeight="1" x14ac:dyDescent="0.25">
      <c r="A42" t="s">
        <v>432</v>
      </c>
    </row>
    <row r="43" spans="1:23" x14ac:dyDescent="0.25">
      <c r="A43" t="s">
        <v>355</v>
      </c>
      <c r="B43" t="s">
        <v>354</v>
      </c>
      <c r="C43">
        <v>251</v>
      </c>
      <c r="D43">
        <v>351</v>
      </c>
      <c r="E43">
        <v>564</v>
      </c>
      <c r="F43">
        <v>444</v>
      </c>
      <c r="G43">
        <v>333</v>
      </c>
      <c r="H43">
        <v>251</v>
      </c>
      <c r="I43">
        <v>366</v>
      </c>
      <c r="J43">
        <v>214</v>
      </c>
      <c r="K43">
        <v>670</v>
      </c>
      <c r="L43">
        <v>884</v>
      </c>
      <c r="M43">
        <v>969</v>
      </c>
      <c r="N43">
        <v>457</v>
      </c>
      <c r="O43">
        <v>578</v>
      </c>
      <c r="P43">
        <v>252</v>
      </c>
      <c r="Q43">
        <v>1668</v>
      </c>
      <c r="R43">
        <v>1562</v>
      </c>
      <c r="S43">
        <v>389</v>
      </c>
      <c r="T43">
        <v>8337</v>
      </c>
      <c r="U43" t="s">
        <v>121</v>
      </c>
      <c r="V43" t="s">
        <v>201</v>
      </c>
      <c r="W43" t="s">
        <v>355</v>
      </c>
    </row>
    <row r="44" spans="1:23" x14ac:dyDescent="0.25">
      <c r="A44" t="s">
        <v>356</v>
      </c>
      <c r="B44" t="s">
        <v>13</v>
      </c>
      <c r="C44">
        <v>13.5</v>
      </c>
      <c r="D44">
        <v>32.5</v>
      </c>
      <c r="E44">
        <v>59.9</v>
      </c>
      <c r="F44">
        <v>62.1</v>
      </c>
      <c r="G44">
        <v>15.4</v>
      </c>
      <c r="H44">
        <v>13.5</v>
      </c>
      <c r="I44">
        <v>54.9</v>
      </c>
      <c r="J44">
        <v>50.3</v>
      </c>
      <c r="K44">
        <v>53.5</v>
      </c>
      <c r="L44">
        <v>60.2</v>
      </c>
      <c r="M44">
        <v>66.7</v>
      </c>
      <c r="N44">
        <v>57.7</v>
      </c>
      <c r="O44">
        <v>78.400000000000006</v>
      </c>
      <c r="P44">
        <v>84.1</v>
      </c>
      <c r="Q44">
        <v>67.8</v>
      </c>
      <c r="R44">
        <v>70.7</v>
      </c>
      <c r="S44">
        <v>39.700000000000003</v>
      </c>
      <c r="T44">
        <v>75.3</v>
      </c>
      <c r="U44" t="s">
        <v>121</v>
      </c>
      <c r="V44" t="s">
        <v>201</v>
      </c>
      <c r="W44" t="s">
        <v>356</v>
      </c>
    </row>
    <row r="45" spans="1:23" x14ac:dyDescent="0.25">
      <c r="A45" t="s">
        <v>361</v>
      </c>
      <c r="B45" t="s">
        <v>159</v>
      </c>
      <c r="C45">
        <v>10.130000000000001</v>
      </c>
      <c r="D45">
        <v>4.82</v>
      </c>
      <c r="E45">
        <v>2.72</v>
      </c>
      <c r="F45">
        <v>3.98</v>
      </c>
      <c r="G45">
        <v>5.61</v>
      </c>
      <c r="H45">
        <v>10.130000000000001</v>
      </c>
      <c r="I45">
        <v>5.3</v>
      </c>
      <c r="J45">
        <v>6.75</v>
      </c>
      <c r="K45">
        <v>2.2000000000000002</v>
      </c>
      <c r="L45">
        <v>2.15</v>
      </c>
      <c r="M45">
        <v>2.89</v>
      </c>
      <c r="N45">
        <v>9.74</v>
      </c>
      <c r="O45">
        <v>5.62</v>
      </c>
      <c r="P45">
        <v>6.22</v>
      </c>
      <c r="Q45">
        <v>4.97</v>
      </c>
      <c r="R45">
        <v>4.58</v>
      </c>
      <c r="S45">
        <v>11.86</v>
      </c>
      <c r="T45">
        <v>6.35</v>
      </c>
      <c r="W45" t="s">
        <v>361</v>
      </c>
    </row>
    <row r="46" spans="1:23" x14ac:dyDescent="0.25">
      <c r="A46" t="s">
        <v>488</v>
      </c>
      <c r="B46" t="s">
        <v>187</v>
      </c>
      <c r="C46">
        <v>318055.7</v>
      </c>
      <c r="D46">
        <v>226009.96</v>
      </c>
      <c r="E46">
        <v>197486.1</v>
      </c>
      <c r="F46">
        <v>157179.24</v>
      </c>
      <c r="G46">
        <v>261407.41999999998</v>
      </c>
      <c r="H46">
        <v>318055.7</v>
      </c>
      <c r="I46">
        <v>188890.11000000002</v>
      </c>
      <c r="J46">
        <v>133369.74</v>
      </c>
      <c r="K46">
        <v>198199.44</v>
      </c>
      <c r="L46">
        <v>258559.56</v>
      </c>
      <c r="M46">
        <v>212081.94</v>
      </c>
      <c r="N46">
        <v>176904</v>
      </c>
      <c r="O46">
        <v>106802.79999999999</v>
      </c>
      <c r="P46">
        <v>60466.6</v>
      </c>
      <c r="Q46">
        <v>216349.38</v>
      </c>
      <c r="R46">
        <v>201334.18</v>
      </c>
      <c r="S46">
        <v>173721.24</v>
      </c>
      <c r="T46">
        <v>291784.24</v>
      </c>
      <c r="U46" t="s">
        <v>121</v>
      </c>
      <c r="V46" t="s">
        <v>201</v>
      </c>
    </row>
    <row r="47" spans="1:23" x14ac:dyDescent="0.25">
      <c r="A47" t="s">
        <v>528</v>
      </c>
      <c r="B47" t="s">
        <v>187</v>
      </c>
      <c r="C47">
        <v>62297.270000000004</v>
      </c>
      <c r="D47">
        <v>40161.68</v>
      </c>
      <c r="E47">
        <v>34733.25</v>
      </c>
      <c r="F47">
        <v>26346.6</v>
      </c>
      <c r="G47">
        <v>45222.600000000006</v>
      </c>
      <c r="H47">
        <v>62297.270000000004</v>
      </c>
      <c r="I47">
        <v>26382.06</v>
      </c>
      <c r="J47">
        <v>24879.96</v>
      </c>
      <c r="K47">
        <v>36958.14</v>
      </c>
      <c r="L47">
        <v>54250.559999999998</v>
      </c>
      <c r="M47">
        <v>48986.73</v>
      </c>
      <c r="N47">
        <v>38616.479999999996</v>
      </c>
      <c r="O47">
        <v>16736.72</v>
      </c>
      <c r="P47">
        <v>7344.4</v>
      </c>
      <c r="Q47">
        <v>48753.899999999994</v>
      </c>
      <c r="R47">
        <v>40896.939999999995</v>
      </c>
      <c r="S47">
        <v>70090.02</v>
      </c>
      <c r="T47">
        <v>70604.72</v>
      </c>
      <c r="U47" t="s">
        <v>121</v>
      </c>
    </row>
  </sheetData>
  <phoneticPr fontId="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964BC-E469-4D50-98C5-88B95BEB0B56}">
  <sheetPr codeName="Sheet7"/>
  <dimension ref="A1:V31"/>
  <sheetViews>
    <sheetView workbookViewId="0">
      <selection activeCell="C2" sqref="C2:C31"/>
    </sheetView>
  </sheetViews>
  <sheetFormatPr defaultColWidth="9.140625" defaultRowHeight="15" x14ac:dyDescent="0.25"/>
  <cols>
    <col min="1" max="1" width="22.85546875" bestFit="1" customWidth="1"/>
    <col min="2" max="2" width="7.7109375" customWidth="1"/>
    <col min="3" max="20" width="13.7109375" customWidth="1"/>
  </cols>
  <sheetData>
    <row r="1" spans="1:22" ht="15" customHeight="1" x14ac:dyDescent="0.25">
      <c r="A1" t="s">
        <v>89</v>
      </c>
      <c r="B1" t="s">
        <v>62</v>
      </c>
      <c r="C1" t="s">
        <v>91</v>
      </c>
      <c r="D1" t="s">
        <v>246</v>
      </c>
      <c r="E1" t="s">
        <v>247</v>
      </c>
      <c r="F1" t="s">
        <v>248</v>
      </c>
      <c r="G1" t="s">
        <v>249</v>
      </c>
      <c r="H1" t="s">
        <v>250</v>
      </c>
      <c r="I1" t="s">
        <v>251</v>
      </c>
      <c r="J1" t="s">
        <v>252</v>
      </c>
      <c r="K1" t="s">
        <v>253</v>
      </c>
      <c r="L1" t="s">
        <v>254</v>
      </c>
      <c r="M1" t="s">
        <v>255</v>
      </c>
      <c r="N1" t="s">
        <v>256</v>
      </c>
      <c r="O1" t="s">
        <v>257</v>
      </c>
      <c r="P1" t="s">
        <v>258</v>
      </c>
      <c r="Q1" t="s">
        <v>260</v>
      </c>
      <c r="R1" t="s">
        <v>259</v>
      </c>
      <c r="S1" t="s">
        <v>261</v>
      </c>
      <c r="T1" t="s">
        <v>262</v>
      </c>
      <c r="U1" t="s">
        <v>59</v>
      </c>
      <c r="V1" t="s">
        <v>60</v>
      </c>
    </row>
    <row r="2" spans="1:22" ht="15" customHeight="1" x14ac:dyDescent="0.25">
      <c r="A2" t="s">
        <v>123</v>
      </c>
      <c r="B2" t="s">
        <v>124</v>
      </c>
      <c r="C2">
        <v>1019</v>
      </c>
      <c r="D2">
        <v>1019</v>
      </c>
      <c r="E2">
        <v>2893</v>
      </c>
      <c r="F2">
        <v>2413</v>
      </c>
      <c r="G2">
        <v>472</v>
      </c>
      <c r="H2">
        <v>386</v>
      </c>
      <c r="I2">
        <v>1843</v>
      </c>
      <c r="J2">
        <v>1145</v>
      </c>
      <c r="K2">
        <v>2762</v>
      </c>
      <c r="L2">
        <v>4386</v>
      </c>
      <c r="M2">
        <v>5056</v>
      </c>
      <c r="N2">
        <v>2061</v>
      </c>
      <c r="O2">
        <v>3586</v>
      </c>
      <c r="P2">
        <v>2281</v>
      </c>
      <c r="Q2">
        <v>4435</v>
      </c>
      <c r="R2">
        <v>4803</v>
      </c>
      <c r="S2">
        <v>913</v>
      </c>
      <c r="T2">
        <v>8560</v>
      </c>
      <c r="U2" t="s">
        <v>121</v>
      </c>
      <c r="V2" t="s">
        <v>201</v>
      </c>
    </row>
    <row r="3" spans="1:22" ht="15" customHeight="1" x14ac:dyDescent="0.25">
      <c r="A3" t="s">
        <v>126</v>
      </c>
      <c r="B3" t="s">
        <v>122</v>
      </c>
      <c r="C3">
        <v>787</v>
      </c>
      <c r="D3">
        <v>787</v>
      </c>
      <c r="E3">
        <v>2167</v>
      </c>
      <c r="F3">
        <v>1779</v>
      </c>
      <c r="G3">
        <v>359</v>
      </c>
      <c r="H3">
        <v>234</v>
      </c>
      <c r="I3">
        <v>1145</v>
      </c>
      <c r="J3">
        <v>704</v>
      </c>
      <c r="K3">
        <v>2175</v>
      </c>
      <c r="L3">
        <v>3455</v>
      </c>
      <c r="M3">
        <v>3918</v>
      </c>
      <c r="N3">
        <v>1602</v>
      </c>
      <c r="O3">
        <v>2994</v>
      </c>
      <c r="P3">
        <v>1849</v>
      </c>
      <c r="Q3">
        <v>3471</v>
      </c>
      <c r="R3">
        <v>3836</v>
      </c>
      <c r="S3">
        <v>230</v>
      </c>
      <c r="T3">
        <v>5736</v>
      </c>
      <c r="U3" t="s">
        <v>121</v>
      </c>
      <c r="V3" t="s">
        <v>201</v>
      </c>
    </row>
    <row r="4" spans="1:22" ht="15" customHeight="1" x14ac:dyDescent="0.25">
      <c r="A4" t="s">
        <v>127</v>
      </c>
      <c r="B4" t="s">
        <v>122</v>
      </c>
      <c r="C4">
        <v>1161</v>
      </c>
      <c r="D4">
        <v>1161</v>
      </c>
      <c r="E4">
        <v>2945</v>
      </c>
      <c r="F4">
        <v>2534</v>
      </c>
      <c r="G4">
        <v>499</v>
      </c>
      <c r="H4">
        <v>374</v>
      </c>
      <c r="I4">
        <v>1602</v>
      </c>
      <c r="J4">
        <v>1017</v>
      </c>
      <c r="K4">
        <v>3124</v>
      </c>
      <c r="L4">
        <v>4424</v>
      </c>
      <c r="M4">
        <v>5135</v>
      </c>
      <c r="N4">
        <v>2489</v>
      </c>
      <c r="O4">
        <v>4341</v>
      </c>
      <c r="P4">
        <v>2614</v>
      </c>
      <c r="Q4">
        <v>4821</v>
      </c>
      <c r="R4">
        <v>5179</v>
      </c>
      <c r="S4">
        <v>363</v>
      </c>
      <c r="T4">
        <v>6468</v>
      </c>
      <c r="U4" t="s">
        <v>121</v>
      </c>
      <c r="V4" t="s">
        <v>201</v>
      </c>
    </row>
    <row r="5" spans="1:22" ht="15" customHeight="1" x14ac:dyDescent="0.25">
      <c r="A5" t="s">
        <v>128</v>
      </c>
      <c r="B5" t="s">
        <v>13</v>
      </c>
      <c r="C5">
        <v>136.59466327827192</v>
      </c>
      <c r="D5">
        <v>136.59466327827192</v>
      </c>
      <c r="E5">
        <v>126.90355329949239</v>
      </c>
      <c r="F5">
        <v>133.50196739741429</v>
      </c>
      <c r="G5">
        <v>128.69080779944289</v>
      </c>
      <c r="H5">
        <v>150.85470085470087</v>
      </c>
      <c r="I5">
        <v>129.6943231441048</v>
      </c>
      <c r="J5">
        <v>132.24431818181819</v>
      </c>
      <c r="K5">
        <v>133.93103448275863</v>
      </c>
      <c r="L5">
        <v>122.80752532561505</v>
      </c>
      <c r="M5">
        <v>127.6416539050536</v>
      </c>
      <c r="N5">
        <v>145.19350811485643</v>
      </c>
      <c r="O5">
        <v>136.13894455577821</v>
      </c>
      <c r="P5">
        <v>137.4256354786371</v>
      </c>
      <c r="Q5">
        <v>129.99135695764909</v>
      </c>
      <c r="R5">
        <v>128.88425443169967</v>
      </c>
      <c r="S5">
        <v>142.17391304347825</v>
      </c>
      <c r="T5">
        <v>110.02440725244072</v>
      </c>
      <c r="U5" t="s">
        <v>121</v>
      </c>
      <c r="V5" t="s">
        <v>201</v>
      </c>
    </row>
    <row r="6" spans="1:22" ht="15" customHeight="1" x14ac:dyDescent="0.25">
      <c r="A6" t="s">
        <v>129</v>
      </c>
      <c r="B6" t="s">
        <v>13</v>
      </c>
      <c r="C6">
        <v>7.4074074074074074</v>
      </c>
      <c r="D6">
        <v>7.4074074074074074</v>
      </c>
      <c r="E6">
        <v>6.6213921901528012</v>
      </c>
      <c r="F6">
        <v>6.2746645619573798</v>
      </c>
      <c r="G6">
        <v>7.4148296593186371</v>
      </c>
      <c r="H6">
        <v>5.6149732620320858</v>
      </c>
      <c r="I6">
        <v>7.3033707865168536</v>
      </c>
      <c r="J6">
        <v>8.4562438544739429</v>
      </c>
      <c r="K6">
        <v>6.7541613316261202</v>
      </c>
      <c r="L6">
        <v>4.0913200723327305</v>
      </c>
      <c r="M6">
        <v>2.6095423563777995</v>
      </c>
      <c r="N6">
        <v>6.5488147850542386</v>
      </c>
      <c r="O6">
        <v>6.1045841971895873</v>
      </c>
      <c r="P6">
        <v>2.79265493496557</v>
      </c>
      <c r="Q6">
        <v>6.4094586185438702</v>
      </c>
      <c r="R6">
        <v>4.5375555126472289</v>
      </c>
      <c r="S6">
        <v>9.9173553719008272</v>
      </c>
      <c r="T6">
        <v>2.4273345701917131</v>
      </c>
      <c r="U6" t="s">
        <v>121</v>
      </c>
      <c r="V6" t="s">
        <v>201</v>
      </c>
    </row>
    <row r="7" spans="1:22" ht="15" customHeight="1" x14ac:dyDescent="0.25">
      <c r="A7" t="s">
        <v>133</v>
      </c>
      <c r="B7" t="s">
        <v>13</v>
      </c>
      <c r="C7">
        <v>2.2000000000000002</v>
      </c>
      <c r="D7">
        <v>2.2000000000000002</v>
      </c>
      <c r="E7">
        <v>1.6</v>
      </c>
      <c r="F7">
        <v>1.9</v>
      </c>
      <c r="G7">
        <v>1.5</v>
      </c>
      <c r="H7">
        <v>1</v>
      </c>
      <c r="I7">
        <v>1.4</v>
      </c>
      <c r="J7">
        <v>1.5</v>
      </c>
      <c r="K7">
        <v>4</v>
      </c>
      <c r="L7">
        <v>1.7</v>
      </c>
      <c r="M7">
        <v>2.2999999999999998</v>
      </c>
      <c r="N7">
        <v>2.1</v>
      </c>
      <c r="O7">
        <v>2</v>
      </c>
      <c r="P7">
        <v>2.2999999999999998</v>
      </c>
      <c r="Q7">
        <v>2</v>
      </c>
      <c r="R7">
        <v>1.9</v>
      </c>
      <c r="S7">
        <v>1.4</v>
      </c>
      <c r="T7">
        <v>2.5</v>
      </c>
      <c r="U7" t="s">
        <v>121</v>
      </c>
      <c r="V7" t="s">
        <v>201</v>
      </c>
    </row>
    <row r="8" spans="1:22" ht="15" customHeight="1" x14ac:dyDescent="0.25">
      <c r="A8" t="s">
        <v>134</v>
      </c>
      <c r="B8" t="s">
        <v>13</v>
      </c>
      <c r="C8">
        <v>5.9</v>
      </c>
      <c r="D8">
        <v>5.9</v>
      </c>
      <c r="E8">
        <v>5.9</v>
      </c>
      <c r="F8">
        <v>3.8</v>
      </c>
      <c r="G8">
        <v>4</v>
      </c>
      <c r="H8">
        <v>5.0999999999999996</v>
      </c>
      <c r="I8">
        <v>3.9</v>
      </c>
      <c r="J8">
        <v>3.9</v>
      </c>
      <c r="K8">
        <v>6.4</v>
      </c>
      <c r="L8">
        <v>4.4000000000000004</v>
      </c>
      <c r="M8">
        <v>4.8</v>
      </c>
      <c r="N8">
        <v>5.8</v>
      </c>
      <c r="O8">
        <v>6.1</v>
      </c>
      <c r="P8">
        <v>5.3</v>
      </c>
      <c r="Q8">
        <v>5.5</v>
      </c>
      <c r="R8">
        <v>5.8</v>
      </c>
      <c r="S8">
        <v>4.0999999999999996</v>
      </c>
      <c r="T8">
        <v>4.9000000000000004</v>
      </c>
      <c r="U8" t="s">
        <v>121</v>
      </c>
      <c r="V8" t="s">
        <v>201</v>
      </c>
    </row>
    <row r="9" spans="1:22" ht="15" customHeight="1" x14ac:dyDescent="0.25">
      <c r="A9" t="s">
        <v>137</v>
      </c>
      <c r="B9" t="s">
        <v>138</v>
      </c>
      <c r="C9">
        <v>5.12</v>
      </c>
      <c r="D9">
        <v>5.12</v>
      </c>
      <c r="E9">
        <v>4.79</v>
      </c>
      <c r="F9">
        <v>4.83</v>
      </c>
      <c r="G9">
        <v>4.3600000000000003</v>
      </c>
      <c r="H9">
        <v>4.1500000000000004</v>
      </c>
      <c r="I9">
        <v>4.46</v>
      </c>
      <c r="J9">
        <v>3.86</v>
      </c>
      <c r="K9">
        <v>5.3</v>
      </c>
      <c r="L9">
        <v>4.3099999999999996</v>
      </c>
      <c r="M9">
        <v>5.07</v>
      </c>
      <c r="N9">
        <v>5.01</v>
      </c>
      <c r="O9">
        <v>4.8600000000000003</v>
      </c>
      <c r="P9">
        <v>4.8899999999999997</v>
      </c>
      <c r="Q9">
        <v>4.5</v>
      </c>
      <c r="R9">
        <v>4.53</v>
      </c>
      <c r="S9">
        <v>2.5299999999999998</v>
      </c>
      <c r="T9">
        <v>4.43</v>
      </c>
      <c r="U9" t="s">
        <v>121</v>
      </c>
      <c r="V9" t="s">
        <v>201</v>
      </c>
    </row>
    <row r="10" spans="1:22" ht="15" customHeight="1" x14ac:dyDescent="0.25">
      <c r="A10" t="s">
        <v>139</v>
      </c>
      <c r="B10" t="s">
        <v>140</v>
      </c>
      <c r="C10">
        <v>205.4</v>
      </c>
      <c r="D10">
        <v>205.4</v>
      </c>
      <c r="E10">
        <v>201.3</v>
      </c>
      <c r="F10">
        <v>193.8</v>
      </c>
      <c r="G10">
        <v>180.2</v>
      </c>
      <c r="H10">
        <v>220.1</v>
      </c>
      <c r="I10">
        <v>201.6</v>
      </c>
      <c r="J10">
        <v>199</v>
      </c>
      <c r="K10">
        <v>202.9</v>
      </c>
      <c r="L10">
        <v>197.2</v>
      </c>
      <c r="M10">
        <v>205.2</v>
      </c>
      <c r="N10">
        <v>251.6</v>
      </c>
      <c r="O10">
        <v>217.4</v>
      </c>
      <c r="P10">
        <v>190.3</v>
      </c>
      <c r="Q10">
        <v>479.1</v>
      </c>
      <c r="R10">
        <v>423.1</v>
      </c>
      <c r="S10">
        <v>249.7</v>
      </c>
      <c r="T10">
        <v>1056.0999999999999</v>
      </c>
      <c r="U10" t="s">
        <v>121</v>
      </c>
      <c r="V10" t="s">
        <v>201</v>
      </c>
    </row>
    <row r="11" spans="1:22" ht="15" customHeight="1" x14ac:dyDescent="0.25">
      <c r="A11" t="s">
        <v>141</v>
      </c>
      <c r="B11" t="s">
        <v>489</v>
      </c>
      <c r="C11">
        <v>1063.0999999999999</v>
      </c>
      <c r="D11">
        <v>1063.0999999999999</v>
      </c>
      <c r="E11">
        <v>1008.2</v>
      </c>
      <c r="F11">
        <v>978.9</v>
      </c>
      <c r="G11">
        <v>770</v>
      </c>
      <c r="H11">
        <v>975.9</v>
      </c>
      <c r="I11">
        <v>1049.9000000000001</v>
      </c>
      <c r="J11">
        <v>821.8</v>
      </c>
      <c r="K11">
        <v>1193.8</v>
      </c>
      <c r="L11">
        <v>880.4</v>
      </c>
      <c r="M11">
        <v>1126.5999999999999</v>
      </c>
      <c r="N11">
        <v>912.4</v>
      </c>
      <c r="O11">
        <v>1009</v>
      </c>
      <c r="P11">
        <v>1004.6</v>
      </c>
      <c r="Q11">
        <v>978.6</v>
      </c>
      <c r="R11">
        <v>973.5</v>
      </c>
      <c r="S11">
        <v>750.1</v>
      </c>
      <c r="T11">
        <v>1128.7</v>
      </c>
      <c r="U11" t="s">
        <v>121</v>
      </c>
      <c r="V11" t="s">
        <v>201</v>
      </c>
    </row>
    <row r="12" spans="1:22" ht="15" customHeight="1" x14ac:dyDescent="0.25">
      <c r="A12" t="s">
        <v>142</v>
      </c>
      <c r="B12" t="s">
        <v>143</v>
      </c>
      <c r="C12">
        <v>125.42</v>
      </c>
      <c r="D12">
        <v>125.42</v>
      </c>
      <c r="E12">
        <v>134.69</v>
      </c>
      <c r="F12">
        <v>130.88999999999999</v>
      </c>
      <c r="G12">
        <v>125.87</v>
      </c>
      <c r="H12">
        <v>142.58000000000001</v>
      </c>
      <c r="I12">
        <v>142.81</v>
      </c>
      <c r="J12">
        <v>143.63</v>
      </c>
      <c r="K12">
        <v>125.73</v>
      </c>
      <c r="L12">
        <v>134.29</v>
      </c>
      <c r="M12">
        <v>130.38999999999999</v>
      </c>
      <c r="N12">
        <v>128.81</v>
      </c>
      <c r="O12">
        <v>124.24</v>
      </c>
      <c r="P12">
        <v>125.25</v>
      </c>
      <c r="Q12">
        <v>125.78</v>
      </c>
      <c r="R12">
        <v>124.16</v>
      </c>
      <c r="S12">
        <v>148.32</v>
      </c>
      <c r="T12">
        <v>120.6</v>
      </c>
      <c r="U12" t="s">
        <v>121</v>
      </c>
      <c r="V12" t="s">
        <v>201</v>
      </c>
    </row>
    <row r="13" spans="1:22" ht="15" customHeight="1" x14ac:dyDescent="0.25">
      <c r="A13" t="s">
        <v>432</v>
      </c>
    </row>
    <row r="14" spans="1:22" ht="15" customHeight="1" x14ac:dyDescent="0.25">
      <c r="A14" t="s">
        <v>144</v>
      </c>
      <c r="B14" t="s">
        <v>143</v>
      </c>
      <c r="C14">
        <v>106.96</v>
      </c>
      <c r="D14">
        <v>106.96</v>
      </c>
      <c r="E14">
        <v>111.41</v>
      </c>
      <c r="F14">
        <v>116.23</v>
      </c>
      <c r="G14">
        <v>100.46</v>
      </c>
      <c r="H14">
        <v>107.01499999999999</v>
      </c>
      <c r="I14">
        <v>128.30000000000001</v>
      </c>
      <c r="J14">
        <v>120.05</v>
      </c>
      <c r="K14">
        <v>99.9</v>
      </c>
      <c r="L14">
        <v>103.5</v>
      </c>
      <c r="M14">
        <v>111.72</v>
      </c>
      <c r="N14">
        <v>102.13</v>
      </c>
      <c r="O14">
        <v>103.43</v>
      </c>
      <c r="P14">
        <v>108.29</v>
      </c>
      <c r="Q14">
        <v>103.44</v>
      </c>
      <c r="R14">
        <v>103.82</v>
      </c>
      <c r="S14">
        <v>109.05</v>
      </c>
      <c r="T14">
        <v>107.07</v>
      </c>
      <c r="U14" t="s">
        <v>121</v>
      </c>
      <c r="V14" t="s">
        <v>201</v>
      </c>
    </row>
    <row r="15" spans="1:22" ht="15" customHeight="1" x14ac:dyDescent="0.25">
      <c r="A15" t="s">
        <v>145</v>
      </c>
      <c r="B15" t="s">
        <v>122</v>
      </c>
      <c r="C15">
        <v>152</v>
      </c>
      <c r="D15">
        <v>152</v>
      </c>
      <c r="E15">
        <v>344</v>
      </c>
      <c r="F15">
        <v>250</v>
      </c>
      <c r="G15">
        <v>59</v>
      </c>
      <c r="H15">
        <v>247</v>
      </c>
      <c r="I15">
        <v>821</v>
      </c>
      <c r="J15">
        <v>431</v>
      </c>
      <c r="K15">
        <v>135</v>
      </c>
      <c r="L15">
        <v>223</v>
      </c>
      <c r="M15">
        <v>237</v>
      </c>
      <c r="N15">
        <v>246</v>
      </c>
      <c r="O15">
        <v>48</v>
      </c>
      <c r="P15">
        <v>24</v>
      </c>
      <c r="Q15">
        <v>343</v>
      </c>
      <c r="R15">
        <v>255</v>
      </c>
      <c r="S15">
        <v>795</v>
      </c>
      <c r="T15">
        <v>1131</v>
      </c>
      <c r="U15" t="s">
        <v>121</v>
      </c>
      <c r="V15" t="s">
        <v>201</v>
      </c>
    </row>
    <row r="16" spans="1:22" ht="15" customHeight="1" x14ac:dyDescent="0.25">
      <c r="A16" t="s">
        <v>145</v>
      </c>
      <c r="B16" t="s">
        <v>143</v>
      </c>
      <c r="C16">
        <v>163.88</v>
      </c>
      <c r="D16">
        <v>163.88</v>
      </c>
      <c r="E16">
        <v>164.9</v>
      </c>
      <c r="F16">
        <v>157.41999999999999</v>
      </c>
      <c r="G16">
        <v>150.79</v>
      </c>
      <c r="H16">
        <v>176.36</v>
      </c>
      <c r="I16">
        <v>173.99</v>
      </c>
      <c r="J16">
        <v>177.11</v>
      </c>
      <c r="K16">
        <v>146.41999999999999</v>
      </c>
      <c r="L16">
        <v>154.80000000000001</v>
      </c>
      <c r="M16">
        <v>157.75</v>
      </c>
      <c r="N16">
        <v>164.11</v>
      </c>
      <c r="O16">
        <v>153.30000000000001</v>
      </c>
      <c r="P16">
        <v>154.71</v>
      </c>
      <c r="Q16">
        <v>163.44999999999999</v>
      </c>
      <c r="R16">
        <v>163.41999999999999</v>
      </c>
      <c r="S16">
        <v>173</v>
      </c>
      <c r="T16">
        <v>151.29</v>
      </c>
      <c r="U16" t="s">
        <v>121</v>
      </c>
      <c r="V16" t="s">
        <v>201</v>
      </c>
    </row>
    <row r="17" spans="1:22" ht="15" customHeight="1" x14ac:dyDescent="0.25">
      <c r="A17" t="s">
        <v>146</v>
      </c>
      <c r="B17" t="s">
        <v>122</v>
      </c>
      <c r="C17">
        <v>138</v>
      </c>
      <c r="D17">
        <v>138</v>
      </c>
      <c r="E17">
        <v>316</v>
      </c>
      <c r="F17">
        <v>331</v>
      </c>
      <c r="G17">
        <v>64</v>
      </c>
      <c r="H17">
        <v>34</v>
      </c>
      <c r="I17">
        <v>190</v>
      </c>
      <c r="J17">
        <v>150</v>
      </c>
      <c r="K17">
        <v>300</v>
      </c>
      <c r="L17">
        <v>503</v>
      </c>
      <c r="M17">
        <v>556</v>
      </c>
      <c r="N17">
        <v>306</v>
      </c>
      <c r="O17">
        <v>529</v>
      </c>
      <c r="P17">
        <v>375</v>
      </c>
      <c r="Q17">
        <v>460</v>
      </c>
      <c r="R17">
        <v>517</v>
      </c>
      <c r="S17">
        <v>44</v>
      </c>
      <c r="T17">
        <v>719</v>
      </c>
      <c r="U17" t="s">
        <v>121</v>
      </c>
      <c r="V17" t="s">
        <v>201</v>
      </c>
    </row>
    <row r="18" spans="1:22" ht="15" customHeight="1" x14ac:dyDescent="0.25">
      <c r="A18" t="s">
        <v>146</v>
      </c>
      <c r="B18" t="s">
        <v>143</v>
      </c>
      <c r="C18">
        <v>120</v>
      </c>
      <c r="D18">
        <v>120</v>
      </c>
      <c r="E18">
        <v>129.52000000000001</v>
      </c>
      <c r="F18">
        <v>123.14</v>
      </c>
      <c r="G18">
        <v>115.37</v>
      </c>
      <c r="H18">
        <v>140</v>
      </c>
      <c r="I18">
        <v>130.74</v>
      </c>
      <c r="J18">
        <v>124.54</v>
      </c>
      <c r="K18">
        <v>120.43</v>
      </c>
      <c r="L18">
        <v>124.22</v>
      </c>
      <c r="M18">
        <v>122.94</v>
      </c>
      <c r="N18">
        <v>139.38</v>
      </c>
      <c r="O18">
        <v>135.22</v>
      </c>
      <c r="P18">
        <v>131.80000000000001</v>
      </c>
      <c r="Q18">
        <v>137.38999999999999</v>
      </c>
      <c r="R18">
        <v>135.99</v>
      </c>
      <c r="S18">
        <v>148.41999999999999</v>
      </c>
      <c r="T18">
        <v>125.91</v>
      </c>
      <c r="U18" t="s">
        <v>121</v>
      </c>
      <c r="V18" t="s">
        <v>201</v>
      </c>
    </row>
    <row r="19" spans="1:22" ht="15" customHeight="1" x14ac:dyDescent="0.25">
      <c r="A19" t="s">
        <v>204</v>
      </c>
      <c r="B19" t="s">
        <v>143</v>
      </c>
      <c r="C19">
        <v>191</v>
      </c>
      <c r="D19">
        <v>191</v>
      </c>
      <c r="E19">
        <v>191</v>
      </c>
      <c r="F19">
        <v>191</v>
      </c>
      <c r="G19">
        <v>191</v>
      </c>
      <c r="H19">
        <v>191</v>
      </c>
      <c r="I19">
        <v>191</v>
      </c>
      <c r="J19">
        <v>191</v>
      </c>
      <c r="K19">
        <v>191</v>
      </c>
      <c r="L19">
        <v>191</v>
      </c>
      <c r="M19">
        <v>191</v>
      </c>
      <c r="N19">
        <v>191</v>
      </c>
      <c r="O19">
        <v>191</v>
      </c>
      <c r="P19">
        <v>191</v>
      </c>
      <c r="Q19">
        <v>191</v>
      </c>
      <c r="R19">
        <v>191</v>
      </c>
      <c r="S19">
        <v>191</v>
      </c>
      <c r="T19">
        <v>191</v>
      </c>
      <c r="U19" t="s">
        <v>203</v>
      </c>
      <c r="V19" t="s">
        <v>199</v>
      </c>
    </row>
    <row r="20" spans="1:22" ht="15" customHeight="1" x14ac:dyDescent="0.25">
      <c r="A20" t="s">
        <v>197</v>
      </c>
      <c r="B20" t="s">
        <v>143</v>
      </c>
      <c r="C20">
        <v>323</v>
      </c>
      <c r="D20">
        <v>323</v>
      </c>
      <c r="E20">
        <v>323</v>
      </c>
      <c r="F20">
        <v>323</v>
      </c>
      <c r="G20">
        <v>323</v>
      </c>
      <c r="H20">
        <v>323</v>
      </c>
      <c r="I20">
        <v>323</v>
      </c>
      <c r="J20">
        <v>323</v>
      </c>
      <c r="K20">
        <v>323</v>
      </c>
      <c r="L20">
        <v>323</v>
      </c>
      <c r="M20">
        <v>323</v>
      </c>
      <c r="N20">
        <v>323</v>
      </c>
      <c r="O20">
        <v>323</v>
      </c>
      <c r="P20">
        <v>323</v>
      </c>
      <c r="Q20">
        <v>323</v>
      </c>
      <c r="R20">
        <v>323</v>
      </c>
      <c r="S20">
        <v>323</v>
      </c>
      <c r="T20">
        <v>323</v>
      </c>
      <c r="U20" t="s">
        <v>200</v>
      </c>
      <c r="V20" t="s">
        <v>199</v>
      </c>
    </row>
    <row r="21" spans="1:22" ht="15" customHeight="1" x14ac:dyDescent="0.25">
      <c r="A21" t="s">
        <v>160</v>
      </c>
      <c r="B21" t="s">
        <v>159</v>
      </c>
      <c r="C21">
        <v>9.32</v>
      </c>
      <c r="D21">
        <v>9.32</v>
      </c>
      <c r="E21">
        <v>9.7100000000000009</v>
      </c>
      <c r="F21">
        <v>8.2899999999999991</v>
      </c>
      <c r="G21">
        <v>8.82</v>
      </c>
      <c r="H21">
        <v>10.36</v>
      </c>
      <c r="I21">
        <v>7.12</v>
      </c>
      <c r="J21">
        <v>9.76</v>
      </c>
      <c r="K21">
        <v>7.67</v>
      </c>
      <c r="L21">
        <v>11.39</v>
      </c>
      <c r="M21">
        <v>10.67</v>
      </c>
      <c r="N21">
        <v>9.6199999999999992</v>
      </c>
      <c r="O21">
        <v>4.5</v>
      </c>
      <c r="P21">
        <v>3.88</v>
      </c>
      <c r="Q21">
        <v>12.05</v>
      </c>
      <c r="R21">
        <v>10.119999999999999</v>
      </c>
      <c r="S21">
        <v>34.57</v>
      </c>
      <c r="T21">
        <v>12.52</v>
      </c>
      <c r="U21" t="s">
        <v>121</v>
      </c>
      <c r="V21" t="s">
        <v>201</v>
      </c>
    </row>
    <row r="22" spans="1:22" ht="15" customHeight="1" x14ac:dyDescent="0.25">
      <c r="A22" t="s">
        <v>87</v>
      </c>
      <c r="B22" t="s">
        <v>159</v>
      </c>
      <c r="C22">
        <v>4.84</v>
      </c>
      <c r="D22">
        <v>4.84</v>
      </c>
      <c r="E22">
        <v>5.52</v>
      </c>
      <c r="F22">
        <v>5.58</v>
      </c>
      <c r="G22">
        <v>2.97</v>
      </c>
      <c r="H22">
        <v>4.6399999999999997</v>
      </c>
      <c r="I22">
        <v>5.04</v>
      </c>
      <c r="J22">
        <v>5.43</v>
      </c>
      <c r="K22">
        <v>5.51</v>
      </c>
      <c r="L22">
        <v>5.18</v>
      </c>
      <c r="M22">
        <v>5.81</v>
      </c>
      <c r="N22">
        <v>6.18</v>
      </c>
      <c r="O22">
        <v>6.82</v>
      </c>
      <c r="P22">
        <v>6.98</v>
      </c>
      <c r="Q22">
        <v>6.13</v>
      </c>
      <c r="R22">
        <v>5.81</v>
      </c>
      <c r="S22">
        <v>4.1399999999999997</v>
      </c>
      <c r="T22">
        <v>6.31</v>
      </c>
      <c r="U22" t="s">
        <v>121</v>
      </c>
      <c r="V22" t="s">
        <v>201</v>
      </c>
    </row>
    <row r="23" spans="1:22" ht="15" customHeight="1" x14ac:dyDescent="0.25">
      <c r="A23" t="s">
        <v>432</v>
      </c>
    </row>
    <row r="24" spans="1:22" x14ac:dyDescent="0.25">
      <c r="A24" t="s">
        <v>361</v>
      </c>
      <c r="B24" t="s">
        <v>159</v>
      </c>
      <c r="C24">
        <v>4.82</v>
      </c>
      <c r="D24">
        <v>4.82</v>
      </c>
      <c r="E24">
        <v>2.72</v>
      </c>
      <c r="F24">
        <v>3.98</v>
      </c>
      <c r="G24">
        <v>5.61</v>
      </c>
      <c r="H24">
        <v>10.130000000000001</v>
      </c>
      <c r="I24">
        <v>5.3</v>
      </c>
      <c r="J24">
        <v>6.75</v>
      </c>
      <c r="K24">
        <v>2.2000000000000002</v>
      </c>
      <c r="L24">
        <v>2.15</v>
      </c>
      <c r="M24">
        <v>2.89</v>
      </c>
      <c r="N24">
        <v>9.74</v>
      </c>
      <c r="O24">
        <v>5.62</v>
      </c>
      <c r="P24">
        <v>6.22</v>
      </c>
      <c r="Q24">
        <v>4.97</v>
      </c>
      <c r="R24">
        <v>4.58</v>
      </c>
      <c r="S24">
        <v>11.86</v>
      </c>
      <c r="T24">
        <v>6.35</v>
      </c>
    </row>
    <row r="25" spans="1:22" x14ac:dyDescent="0.25">
      <c r="A25" t="s">
        <v>490</v>
      </c>
      <c r="B25" t="s">
        <v>13</v>
      </c>
      <c r="C25">
        <v>0.7</v>
      </c>
      <c r="D25">
        <v>0.7</v>
      </c>
      <c r="E25">
        <v>0.7</v>
      </c>
      <c r="F25">
        <v>0.7</v>
      </c>
      <c r="G25">
        <v>0.7</v>
      </c>
      <c r="H25">
        <v>0.7</v>
      </c>
      <c r="I25">
        <v>0.7</v>
      </c>
      <c r="J25">
        <v>0.7</v>
      </c>
      <c r="K25">
        <v>0.7</v>
      </c>
      <c r="L25">
        <v>0.7</v>
      </c>
      <c r="M25">
        <v>0.7</v>
      </c>
      <c r="N25">
        <v>0.7</v>
      </c>
      <c r="O25">
        <v>0.7</v>
      </c>
      <c r="P25">
        <v>0.7</v>
      </c>
      <c r="Q25">
        <v>0.7</v>
      </c>
      <c r="R25">
        <v>0.7</v>
      </c>
      <c r="S25">
        <v>0.7</v>
      </c>
      <c r="T25">
        <v>0.7</v>
      </c>
    </row>
    <row r="26" spans="1:22" x14ac:dyDescent="0.25">
      <c r="A26" t="s">
        <v>493</v>
      </c>
      <c r="B26" t="s">
        <v>187</v>
      </c>
      <c r="C26">
        <v>152799.04999999999</v>
      </c>
      <c r="D26">
        <v>152799.04999999999</v>
      </c>
      <c r="E26">
        <v>382165.3</v>
      </c>
      <c r="F26">
        <v>330629.26</v>
      </c>
      <c r="G26">
        <v>60755.839999999997</v>
      </c>
      <c r="H26">
        <v>58625.68</v>
      </c>
      <c r="I26">
        <v>273980.38</v>
      </c>
      <c r="J26">
        <v>161158.75</v>
      </c>
      <c r="K26">
        <v>348840.6</v>
      </c>
      <c r="L26">
        <v>516539.22</v>
      </c>
      <c r="M26">
        <v>634174.08000000007</v>
      </c>
      <c r="N26">
        <v>321041.97000000003</v>
      </c>
      <c r="O26">
        <v>518212.86</v>
      </c>
      <c r="P26">
        <v>323058.02999999997</v>
      </c>
      <c r="Q26">
        <v>656113.9</v>
      </c>
      <c r="R26">
        <v>673812.87</v>
      </c>
      <c r="S26">
        <v>121219.01000000001</v>
      </c>
      <c r="T26">
        <v>1175716</v>
      </c>
      <c r="U26" t="s">
        <v>121</v>
      </c>
    </row>
    <row r="27" spans="1:22" x14ac:dyDescent="0.25">
      <c r="A27" t="s">
        <v>432</v>
      </c>
    </row>
    <row r="28" spans="1:22" x14ac:dyDescent="0.25">
      <c r="A28" t="s">
        <v>501</v>
      </c>
      <c r="B28" t="s">
        <v>122</v>
      </c>
      <c r="C28">
        <v>740</v>
      </c>
      <c r="D28">
        <v>740</v>
      </c>
      <c r="E28">
        <v>1392</v>
      </c>
      <c r="F28">
        <v>1378</v>
      </c>
      <c r="G28">
        <v>250</v>
      </c>
      <c r="H28">
        <v>324</v>
      </c>
      <c r="I28">
        <v>1305</v>
      </c>
      <c r="J28">
        <v>693</v>
      </c>
      <c r="K28">
        <v>1041</v>
      </c>
      <c r="L28">
        <v>1246</v>
      </c>
      <c r="M28">
        <v>1946</v>
      </c>
      <c r="N28">
        <v>1467</v>
      </c>
      <c r="O28">
        <v>2639</v>
      </c>
      <c r="P28">
        <v>1766</v>
      </c>
      <c r="Q28">
        <v>1964</v>
      </c>
      <c r="R28">
        <v>1981</v>
      </c>
      <c r="S28">
        <v>542</v>
      </c>
      <c r="T28">
        <v>1488</v>
      </c>
      <c r="U28" t="s">
        <v>121</v>
      </c>
    </row>
    <row r="29" spans="1:22" x14ac:dyDescent="0.25">
      <c r="A29" t="s">
        <v>502</v>
      </c>
      <c r="B29" t="s">
        <v>122</v>
      </c>
      <c r="C29">
        <v>458</v>
      </c>
      <c r="D29">
        <v>458</v>
      </c>
      <c r="E29">
        <v>675</v>
      </c>
      <c r="F29">
        <v>431</v>
      </c>
      <c r="G29">
        <v>86</v>
      </c>
      <c r="I29">
        <v>89</v>
      </c>
      <c r="J29">
        <v>158</v>
      </c>
      <c r="K29">
        <v>1173</v>
      </c>
      <c r="L29">
        <v>1768</v>
      </c>
      <c r="M29">
        <v>1484</v>
      </c>
      <c r="N29">
        <v>518</v>
      </c>
      <c r="O29">
        <v>787</v>
      </c>
      <c r="P29">
        <v>279</v>
      </c>
      <c r="Q29">
        <v>1521</v>
      </c>
      <c r="R29">
        <v>1829</v>
      </c>
      <c r="S29">
        <v>26</v>
      </c>
      <c r="T29">
        <v>1638</v>
      </c>
      <c r="U29" t="s">
        <v>121</v>
      </c>
    </row>
    <row r="30" spans="1:22" x14ac:dyDescent="0.25">
      <c r="A30" t="s">
        <v>529</v>
      </c>
      <c r="B30" t="s">
        <v>187</v>
      </c>
      <c r="C30">
        <v>22856.17</v>
      </c>
      <c r="D30">
        <v>22856.17</v>
      </c>
      <c r="E30">
        <v>69200.56</v>
      </c>
      <c r="F30">
        <v>57332.880000000005</v>
      </c>
      <c r="G30">
        <v>8769.76</v>
      </c>
      <c r="H30">
        <v>10205.839999999998</v>
      </c>
      <c r="I30">
        <v>42812.89</v>
      </c>
      <c r="J30">
        <v>29850.15</v>
      </c>
      <c r="K30">
        <v>60101.119999999995</v>
      </c>
      <c r="L30">
        <v>105044.7</v>
      </c>
      <c r="M30">
        <v>135450.23999999999</v>
      </c>
      <c r="N30">
        <v>63231.479999999996</v>
      </c>
      <c r="O30">
        <v>88896.940000000017</v>
      </c>
      <c r="P30">
        <v>58051.44999999999</v>
      </c>
      <c r="Q30">
        <v>131941.25</v>
      </c>
      <c r="R30">
        <v>131314.01999999999</v>
      </c>
      <c r="S30">
        <v>48891.149999999994</v>
      </c>
      <c r="T30">
        <v>286331.99999999994</v>
      </c>
      <c r="U30" t="s">
        <v>121</v>
      </c>
    </row>
    <row r="31" spans="1:22" x14ac:dyDescent="0.25">
      <c r="C31" s="78"/>
      <c r="D31" s="78"/>
      <c r="E31" s="78"/>
      <c r="F31" s="78"/>
      <c r="G31" s="78"/>
      <c r="H31" s="78"/>
      <c r="I31" s="78"/>
      <c r="J31" s="78"/>
      <c r="K31" s="78"/>
      <c r="L31" s="78"/>
      <c r="M31" s="78"/>
      <c r="N31" s="78"/>
      <c r="O31" s="78"/>
      <c r="P31" s="78"/>
      <c r="Q31" s="78"/>
      <c r="R31" s="78"/>
      <c r="S31" s="78"/>
      <c r="T31" s="78"/>
    </row>
  </sheetData>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D188F-223A-47F6-A15E-13526F68CD61}">
  <sheetPr codeName="Sheet8"/>
  <dimension ref="A1:F18"/>
  <sheetViews>
    <sheetView workbookViewId="0"/>
  </sheetViews>
  <sheetFormatPr defaultRowHeight="15" x14ac:dyDescent="0.25"/>
  <cols>
    <col min="1" max="1" width="23.42578125" bestFit="1" customWidth="1"/>
    <col min="2" max="3" width="25.5703125" bestFit="1" customWidth="1"/>
    <col min="4" max="4" width="23.42578125" bestFit="1" customWidth="1"/>
    <col min="5" max="6" width="15.5703125" bestFit="1" customWidth="1"/>
  </cols>
  <sheetData>
    <row r="1" spans="1:6" x14ac:dyDescent="0.25">
      <c r="A1" t="s">
        <v>14</v>
      </c>
      <c r="B1" t="s">
        <v>15</v>
      </c>
      <c r="C1" t="s">
        <v>16</v>
      </c>
      <c r="D1" t="s">
        <v>268</v>
      </c>
      <c r="E1" t="s">
        <v>269</v>
      </c>
      <c r="F1" t="s">
        <v>270</v>
      </c>
    </row>
    <row r="2" spans="1:6" x14ac:dyDescent="0.25">
      <c r="A2" t="s">
        <v>84</v>
      </c>
      <c r="B2" t="s">
        <v>246</v>
      </c>
      <c r="C2" t="s">
        <v>246</v>
      </c>
      <c r="D2" t="s">
        <v>287</v>
      </c>
      <c r="E2" t="s">
        <v>287</v>
      </c>
      <c r="F2" t="s">
        <v>285</v>
      </c>
    </row>
    <row r="3" spans="1:6" x14ac:dyDescent="0.25">
      <c r="A3" t="s">
        <v>243</v>
      </c>
      <c r="B3" t="s">
        <v>247</v>
      </c>
      <c r="C3" t="s">
        <v>247</v>
      </c>
      <c r="D3" t="s">
        <v>288</v>
      </c>
      <c r="E3" t="s">
        <v>288</v>
      </c>
      <c r="F3" t="s">
        <v>286</v>
      </c>
    </row>
    <row r="4" spans="1:6" x14ac:dyDescent="0.25">
      <c r="A4" t="s">
        <v>244</v>
      </c>
      <c r="B4" t="s">
        <v>248</v>
      </c>
      <c r="C4" t="s">
        <v>248</v>
      </c>
      <c r="D4" t="s">
        <v>263</v>
      </c>
      <c r="E4" t="s">
        <v>359</v>
      </c>
    </row>
    <row r="5" spans="1:6" x14ac:dyDescent="0.25">
      <c r="A5" t="s">
        <v>245</v>
      </c>
      <c r="B5" t="s">
        <v>249</v>
      </c>
      <c r="C5" t="s">
        <v>249</v>
      </c>
      <c r="D5" t="s">
        <v>264</v>
      </c>
    </row>
    <row r="6" spans="1:6" x14ac:dyDescent="0.25">
      <c r="A6" t="s">
        <v>96</v>
      </c>
      <c r="B6" t="s">
        <v>250</v>
      </c>
      <c r="C6" t="s">
        <v>250</v>
      </c>
      <c r="D6" t="s">
        <v>265</v>
      </c>
    </row>
    <row r="7" spans="1:6" x14ac:dyDescent="0.25">
      <c r="A7" t="s">
        <v>97</v>
      </c>
      <c r="B7" t="s">
        <v>251</v>
      </c>
      <c r="C7" t="s">
        <v>251</v>
      </c>
      <c r="D7" t="s">
        <v>266</v>
      </c>
    </row>
    <row r="8" spans="1:6" x14ac:dyDescent="0.25">
      <c r="A8" t="s">
        <v>98</v>
      </c>
      <c r="B8" t="s">
        <v>252</v>
      </c>
      <c r="C8" t="s">
        <v>252</v>
      </c>
      <c r="D8" t="s">
        <v>267</v>
      </c>
    </row>
    <row r="9" spans="1:6" x14ac:dyDescent="0.25">
      <c r="A9" t="s">
        <v>99</v>
      </c>
      <c r="B9" t="s">
        <v>253</v>
      </c>
      <c r="C9" t="s">
        <v>253</v>
      </c>
      <c r="D9" t="s">
        <v>358</v>
      </c>
    </row>
    <row r="10" spans="1:6" x14ac:dyDescent="0.25">
      <c r="A10" t="s">
        <v>100</v>
      </c>
      <c r="B10" t="s">
        <v>254</v>
      </c>
      <c r="C10" t="s">
        <v>254</v>
      </c>
    </row>
    <row r="11" spans="1:6" x14ac:dyDescent="0.25">
      <c r="A11" t="s">
        <v>101</v>
      </c>
      <c r="B11" t="s">
        <v>255</v>
      </c>
      <c r="C11" t="s">
        <v>255</v>
      </c>
    </row>
    <row r="12" spans="1:6" x14ac:dyDescent="0.25">
      <c r="A12" t="s">
        <v>102</v>
      </c>
      <c r="B12" t="s">
        <v>256</v>
      </c>
      <c r="C12" t="s">
        <v>256</v>
      </c>
    </row>
    <row r="13" spans="1:6" x14ac:dyDescent="0.25">
      <c r="A13" t="s">
        <v>242</v>
      </c>
      <c r="B13" t="s">
        <v>257</v>
      </c>
      <c r="C13" t="s">
        <v>257</v>
      </c>
    </row>
    <row r="14" spans="1:6" x14ac:dyDescent="0.25">
      <c r="B14" t="s">
        <v>258</v>
      </c>
      <c r="C14" t="s">
        <v>258</v>
      </c>
    </row>
    <row r="15" spans="1:6" x14ac:dyDescent="0.25">
      <c r="B15" t="s">
        <v>260</v>
      </c>
      <c r="C15" t="s">
        <v>260</v>
      </c>
    </row>
    <row r="16" spans="1:6" x14ac:dyDescent="0.25">
      <c r="B16" t="s">
        <v>259</v>
      </c>
      <c r="C16" t="s">
        <v>259</v>
      </c>
    </row>
    <row r="17" spans="2:3" x14ac:dyDescent="0.25">
      <c r="B17" t="s">
        <v>261</v>
      </c>
      <c r="C17" t="s">
        <v>261</v>
      </c>
    </row>
    <row r="18" spans="2:3" x14ac:dyDescent="0.25">
      <c r="B18" t="s">
        <v>262</v>
      </c>
      <c r="C18" t="s">
        <v>262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B8339-8169-474D-A2FD-46A12B6C8D5A}">
  <sheetPr codeName="Sheet10"/>
  <dimension ref="A1:C67"/>
  <sheetViews>
    <sheetView workbookViewId="0"/>
  </sheetViews>
  <sheetFormatPr defaultRowHeight="15" x14ac:dyDescent="0.25"/>
  <cols>
    <col min="1" max="1" width="11.42578125" bestFit="1" customWidth="1"/>
    <col min="2" max="2" width="44.140625" bestFit="1" customWidth="1"/>
  </cols>
  <sheetData>
    <row r="1" spans="1:3" x14ac:dyDescent="0.25">
      <c r="A1" t="s">
        <v>322</v>
      </c>
      <c r="B1" t="s">
        <v>239</v>
      </c>
      <c r="C1" t="s">
        <v>323</v>
      </c>
    </row>
    <row r="2" spans="1:3" x14ac:dyDescent="0.25">
      <c r="A2" t="s">
        <v>14</v>
      </c>
      <c r="B2" t="s">
        <v>84</v>
      </c>
      <c r="C2" t="s">
        <v>333</v>
      </c>
    </row>
    <row r="3" spans="1:3" x14ac:dyDescent="0.25">
      <c r="A3" t="s">
        <v>14</v>
      </c>
      <c r="B3" t="s">
        <v>243</v>
      </c>
      <c r="C3" t="s">
        <v>324</v>
      </c>
    </row>
    <row r="4" spans="1:3" x14ac:dyDescent="0.25">
      <c r="A4" t="s">
        <v>14</v>
      </c>
      <c r="B4" t="s">
        <v>244</v>
      </c>
      <c r="C4" t="s">
        <v>347</v>
      </c>
    </row>
    <row r="5" spans="1:3" x14ac:dyDescent="0.25">
      <c r="A5" t="s">
        <v>14</v>
      </c>
      <c r="B5" t="s">
        <v>245</v>
      </c>
      <c r="C5" t="s">
        <v>348</v>
      </c>
    </row>
    <row r="6" spans="1:3" x14ac:dyDescent="0.25">
      <c r="A6" t="s">
        <v>14</v>
      </c>
      <c r="B6" t="s">
        <v>96</v>
      </c>
      <c r="C6" t="s">
        <v>325</v>
      </c>
    </row>
    <row r="7" spans="1:3" x14ac:dyDescent="0.25">
      <c r="A7" t="s">
        <v>14</v>
      </c>
      <c r="B7" t="s">
        <v>97</v>
      </c>
      <c r="C7" t="s">
        <v>326</v>
      </c>
    </row>
    <row r="8" spans="1:3" x14ac:dyDescent="0.25">
      <c r="A8" t="s">
        <v>14</v>
      </c>
      <c r="B8" t="s">
        <v>98</v>
      </c>
      <c r="C8" t="s">
        <v>327</v>
      </c>
    </row>
    <row r="9" spans="1:3" x14ac:dyDescent="0.25">
      <c r="A9" t="s">
        <v>14</v>
      </c>
      <c r="B9" t="s">
        <v>99</v>
      </c>
      <c r="C9" t="s">
        <v>328</v>
      </c>
    </row>
    <row r="10" spans="1:3" x14ac:dyDescent="0.25">
      <c r="A10" t="s">
        <v>14</v>
      </c>
      <c r="B10" t="s">
        <v>100</v>
      </c>
      <c r="C10" t="s">
        <v>349</v>
      </c>
    </row>
    <row r="11" spans="1:3" x14ac:dyDescent="0.25">
      <c r="A11" t="s">
        <v>14</v>
      </c>
      <c r="B11" t="s">
        <v>101</v>
      </c>
      <c r="C11" t="s">
        <v>329</v>
      </c>
    </row>
    <row r="12" spans="1:3" x14ac:dyDescent="0.25">
      <c r="A12" t="s">
        <v>14</v>
      </c>
      <c r="B12" t="s">
        <v>102</v>
      </c>
      <c r="C12" t="s">
        <v>330</v>
      </c>
    </row>
    <row r="13" spans="1:3" x14ac:dyDescent="0.25">
      <c r="A13" t="s">
        <v>14</v>
      </c>
      <c r="B13" t="s">
        <v>242</v>
      </c>
      <c r="C13" t="s">
        <v>331</v>
      </c>
    </row>
    <row r="14" spans="1:3" ht="15" customHeight="1" x14ac:dyDescent="0.25">
      <c r="A14" t="s">
        <v>332</v>
      </c>
      <c r="B14" t="s">
        <v>246</v>
      </c>
      <c r="C14" t="s">
        <v>335</v>
      </c>
    </row>
    <row r="15" spans="1:3" ht="15" customHeight="1" x14ac:dyDescent="0.25">
      <c r="A15" t="s">
        <v>332</v>
      </c>
      <c r="B15" t="s">
        <v>247</v>
      </c>
      <c r="C15" t="s">
        <v>350</v>
      </c>
    </row>
    <row r="16" spans="1:3" ht="15" customHeight="1" x14ac:dyDescent="0.25">
      <c r="A16" t="s">
        <v>332</v>
      </c>
      <c r="B16" t="s">
        <v>248</v>
      </c>
      <c r="C16" t="s">
        <v>336</v>
      </c>
    </row>
    <row r="17" spans="1:3" ht="15" customHeight="1" x14ac:dyDescent="0.25">
      <c r="A17" t="s">
        <v>332</v>
      </c>
      <c r="B17" t="s">
        <v>249</v>
      </c>
      <c r="C17" t="s">
        <v>357</v>
      </c>
    </row>
    <row r="18" spans="1:3" ht="15" customHeight="1" x14ac:dyDescent="0.25">
      <c r="A18" t="s">
        <v>332</v>
      </c>
      <c r="B18" t="s">
        <v>250</v>
      </c>
      <c r="C18" t="s">
        <v>337</v>
      </c>
    </row>
    <row r="19" spans="1:3" ht="15" customHeight="1" x14ac:dyDescent="0.25">
      <c r="A19" t="s">
        <v>332</v>
      </c>
      <c r="B19" t="s">
        <v>251</v>
      </c>
      <c r="C19" t="s">
        <v>351</v>
      </c>
    </row>
    <row r="20" spans="1:3" ht="15" customHeight="1" x14ac:dyDescent="0.25">
      <c r="A20" t="s">
        <v>332</v>
      </c>
      <c r="B20" t="s">
        <v>252</v>
      </c>
      <c r="C20" t="s">
        <v>338</v>
      </c>
    </row>
    <row r="21" spans="1:3" ht="15" customHeight="1" x14ac:dyDescent="0.25">
      <c r="A21" t="s">
        <v>332</v>
      </c>
      <c r="B21" t="s">
        <v>253</v>
      </c>
      <c r="C21" t="s">
        <v>339</v>
      </c>
    </row>
    <row r="22" spans="1:3" ht="15" customHeight="1" x14ac:dyDescent="0.25">
      <c r="A22" t="s">
        <v>332</v>
      </c>
      <c r="B22" t="s">
        <v>254</v>
      </c>
      <c r="C22" t="s">
        <v>352</v>
      </c>
    </row>
    <row r="23" spans="1:3" ht="15" customHeight="1" x14ac:dyDescent="0.25">
      <c r="A23" t="s">
        <v>332</v>
      </c>
      <c r="B23" t="s">
        <v>255</v>
      </c>
      <c r="C23" t="s">
        <v>340</v>
      </c>
    </row>
    <row r="24" spans="1:3" ht="15" customHeight="1" x14ac:dyDescent="0.25">
      <c r="A24" t="s">
        <v>332</v>
      </c>
      <c r="B24" t="s">
        <v>256</v>
      </c>
      <c r="C24" t="s">
        <v>341</v>
      </c>
    </row>
    <row r="25" spans="1:3" ht="15" customHeight="1" x14ac:dyDescent="0.25">
      <c r="A25" t="s">
        <v>332</v>
      </c>
      <c r="B25" t="s">
        <v>257</v>
      </c>
      <c r="C25" t="s">
        <v>342</v>
      </c>
    </row>
    <row r="26" spans="1:3" ht="15" customHeight="1" x14ac:dyDescent="0.25">
      <c r="A26" t="s">
        <v>332</v>
      </c>
      <c r="B26" t="s">
        <v>258</v>
      </c>
      <c r="C26" t="s">
        <v>343</v>
      </c>
    </row>
    <row r="27" spans="1:3" ht="15" customHeight="1" x14ac:dyDescent="0.25">
      <c r="A27" t="s">
        <v>332</v>
      </c>
      <c r="B27" t="s">
        <v>260</v>
      </c>
      <c r="C27" t="s">
        <v>344</v>
      </c>
    </row>
    <row r="28" spans="1:3" ht="15" customHeight="1" x14ac:dyDescent="0.25">
      <c r="A28" t="s">
        <v>332</v>
      </c>
      <c r="B28" t="s">
        <v>259</v>
      </c>
      <c r="C28" t="s">
        <v>345</v>
      </c>
    </row>
    <row r="29" spans="1:3" ht="15" customHeight="1" x14ac:dyDescent="0.25">
      <c r="A29" t="s">
        <v>332</v>
      </c>
      <c r="B29" t="s">
        <v>261</v>
      </c>
      <c r="C29" t="s">
        <v>334</v>
      </c>
    </row>
    <row r="30" spans="1:3" ht="15" customHeight="1" x14ac:dyDescent="0.25">
      <c r="A30" t="s">
        <v>332</v>
      </c>
      <c r="B30" t="s">
        <v>262</v>
      </c>
      <c r="C30" t="s">
        <v>346</v>
      </c>
    </row>
    <row r="31" spans="1:3" ht="15" customHeight="1" x14ac:dyDescent="0.25"/>
    <row r="32" spans="1:3"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Partial Budget</vt:lpstr>
      <vt:lpstr>Dairy GM</vt:lpstr>
      <vt:lpstr>Beef GM</vt:lpstr>
      <vt:lpstr>Sheep GM</vt:lpstr>
      <vt:lpstr>Disease parameter</vt:lpstr>
      <vt:lpstr>Dairy parameter</vt:lpstr>
      <vt:lpstr>Beef parameter</vt:lpstr>
      <vt:lpstr>Sheep parameter</vt:lpstr>
      <vt:lpstr>List</vt:lpstr>
      <vt:lpstr>Farm 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Wada, Masako</dc:creator>
  <cp:lastModifiedBy>Masako</cp:lastModifiedBy>
  <dcterms:created xsi:type="dcterms:W3CDTF">2021-06-02T21:19:11Z</dcterms:created>
  <dcterms:modified xsi:type="dcterms:W3CDTF">2023-02-18T10:39:27Z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d9e4d68-54d0-40a5-8c9a-85a36c87352c_Enabled">
    <vt:lpwstr>true</vt:lpwstr>
  </property>
  <property fmtid="{D5CDD505-2E9C-101B-9397-08002B2CF9AE}" pid="3" name="MSIP_Label_bd9e4d68-54d0-40a5-8c9a-85a36c87352c_SetDate">
    <vt:lpwstr>2022-03-03T21:45:01Z</vt:lpwstr>
  </property>
  <property fmtid="{D5CDD505-2E9C-101B-9397-08002B2CF9AE}" pid="4" name="MSIP_Label_bd9e4d68-54d0-40a5-8c9a-85a36c87352c_Method">
    <vt:lpwstr>Privileged</vt:lpwstr>
  </property>
  <property fmtid="{D5CDD505-2E9C-101B-9397-08002B2CF9AE}" pid="5" name="MSIP_Label_bd9e4d68-54d0-40a5-8c9a-85a36c87352c_Name">
    <vt:lpwstr>Unclassified</vt:lpwstr>
  </property>
  <property fmtid="{D5CDD505-2E9C-101B-9397-08002B2CF9AE}" pid="6" name="MSIP_Label_bd9e4d68-54d0-40a5-8c9a-85a36c87352c_SiteId">
    <vt:lpwstr>388728e1-bbd0-4378-98dc-f8682e644300</vt:lpwstr>
  </property>
  <property fmtid="{D5CDD505-2E9C-101B-9397-08002B2CF9AE}" pid="7" name="MSIP_Label_bd9e4d68-54d0-40a5-8c9a-85a36c87352c_ActionId">
    <vt:lpwstr>bc794bf0-0e45-4389-b8e7-44be91ec1d76</vt:lpwstr>
  </property>
  <property fmtid="{D5CDD505-2E9C-101B-9397-08002B2CF9AE}" pid="8" name="MSIP_Label_bd9e4d68-54d0-40a5-8c9a-85a36c87352c_ContentBits">
    <vt:lpwstr>0</vt:lpwstr>
  </property>
</Properties>
</file>